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46e306f8caabc167/Desktop/Excel Projects/"/>
    </mc:Choice>
  </mc:AlternateContent>
  <xr:revisionPtr revIDLastSave="12" documentId="11_DBB7BE39DC956C50FEF9BDB25A3E128849806550" xr6:coauthVersionLast="47" xr6:coauthVersionMax="47" xr10:uidLastSave="{D333E215-E699-4BA6-A66E-A57EA068357E}"/>
  <bookViews>
    <workbookView xWindow="-108" yWindow="-108" windowWidth="23256" windowHeight="12456" activeTab="3" xr2:uid="{00000000-000D-0000-FFFF-FFFF00000000}"/>
  </bookViews>
  <sheets>
    <sheet name="Raw Data" sheetId="1" r:id="rId1"/>
    <sheet name="Analysis" sheetId="2" r:id="rId2"/>
    <sheet name="Pivot Table" sheetId="4" r:id="rId3"/>
    <sheet name="Dashboard" sheetId="5" r:id="rId4"/>
  </sheets>
  <definedNames>
    <definedName name="_xlnm._FilterDatabase" localSheetId="0" hidden="1">'Raw Data'!$A$1:$H$71</definedName>
    <definedName name="Slicer_Category">#N/A</definedName>
    <definedName name="Slicer_Product">#N/A</definedName>
    <definedName name="Slicer_Region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2" l="1"/>
  <c r="C10" i="2"/>
  <c r="C5" i="2"/>
  <c r="C4" i="2"/>
  <c r="C3" i="2"/>
  <c r="C2" i="2"/>
</calcChain>
</file>

<file path=xl/sharedStrings.xml><?xml version="1.0" encoding="utf-8"?>
<sst xmlns="http://schemas.openxmlformats.org/spreadsheetml/2006/main" count="288" uniqueCount="73">
  <si>
    <t>OrderID</t>
  </si>
  <si>
    <t>Product</t>
  </si>
  <si>
    <t>Category</t>
  </si>
  <si>
    <t>Region</t>
  </si>
  <si>
    <t>Sales</t>
  </si>
  <si>
    <t>Profit</t>
  </si>
  <si>
    <t>Quantity</t>
  </si>
  <si>
    <t>Date</t>
  </si>
  <si>
    <t>Laptop</t>
  </si>
  <si>
    <t>Electronics</t>
  </si>
  <si>
    <t>North</t>
  </si>
  <si>
    <t>Mobile</t>
  </si>
  <si>
    <t>South</t>
  </si>
  <si>
    <t>Tablet</t>
  </si>
  <si>
    <t>East</t>
  </si>
  <si>
    <t>Headphones</t>
  </si>
  <si>
    <t>Accessories</t>
  </si>
  <si>
    <t>West</t>
  </si>
  <si>
    <t>Keyboard</t>
  </si>
  <si>
    <t>Mouse</t>
  </si>
  <si>
    <t>Monitor</t>
  </si>
  <si>
    <t>13-01-2024</t>
  </si>
  <si>
    <t>15-01-2024</t>
  </si>
  <si>
    <t>16-01-2024</t>
  </si>
  <si>
    <t>18-01-2024</t>
  </si>
  <si>
    <t>19-01-2024</t>
  </si>
  <si>
    <t>20-01-2024</t>
  </si>
  <si>
    <t>22-01-2024</t>
  </si>
  <si>
    <t>24-01-2024</t>
  </si>
  <si>
    <t>25-01-2024</t>
  </si>
  <si>
    <t>26-01-2024</t>
  </si>
  <si>
    <t>28-01-2024</t>
  </si>
  <si>
    <t>29-01-2024</t>
  </si>
  <si>
    <t>13-02-2024</t>
  </si>
  <si>
    <t>14-02-2024</t>
  </si>
  <si>
    <t>15-02-2024</t>
  </si>
  <si>
    <t>16-02-2024</t>
  </si>
  <si>
    <t>17-02-2024</t>
  </si>
  <si>
    <t>18-02-2024</t>
  </si>
  <si>
    <t>19-02-2024</t>
  </si>
  <si>
    <t>20-02-2024</t>
  </si>
  <si>
    <t>21-02-2024</t>
  </si>
  <si>
    <t>22-02-2024</t>
  </si>
  <si>
    <t>23-02-2024</t>
  </si>
  <si>
    <t>24-02-2024</t>
  </si>
  <si>
    <t>25-02-2024</t>
  </si>
  <si>
    <t>26-02-2024</t>
  </si>
  <si>
    <t>27-02-2024</t>
  </si>
  <si>
    <t>28-02-2024</t>
  </si>
  <si>
    <t>13-03-2024</t>
  </si>
  <si>
    <t>14-03-2024</t>
  </si>
  <si>
    <t>15-03-2024</t>
  </si>
  <si>
    <t>16-03-2024</t>
  </si>
  <si>
    <t>17-03-2024</t>
  </si>
  <si>
    <t>18-03-2024</t>
  </si>
  <si>
    <t>19-03-2024</t>
  </si>
  <si>
    <t>20-03-2024</t>
  </si>
  <si>
    <t>21-03-2024</t>
  </si>
  <si>
    <t>22-03-2024</t>
  </si>
  <si>
    <t>A</t>
  </si>
  <si>
    <t>B</t>
  </si>
  <si>
    <t>TOTAL SALES</t>
  </si>
  <si>
    <t>TOTAL PROFIT</t>
  </si>
  <si>
    <t>AVERAGE SALES</t>
  </si>
  <si>
    <t>TOTAL ORDERS</t>
  </si>
  <si>
    <t>ADDITIONAL ANALYSIS</t>
  </si>
  <si>
    <t>HIGHEST SALE</t>
  </si>
  <si>
    <t>LOWEST SALE</t>
  </si>
  <si>
    <t>Total  Sales</t>
  </si>
  <si>
    <t>Grand Total</t>
  </si>
  <si>
    <t>Total Sales</t>
  </si>
  <si>
    <t>SALES ANALYSIS DASHBOARD</t>
  </si>
  <si>
    <t>TOTAL PROFITS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</si>
</sst>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6" formatCode="&quot;₹&quot;\ #,##0"/>
    <numFmt numFmtId="167" formatCode="[$₹-439]#,##0"/>
    <numFmt numFmtId="168" formatCode="&quot;₹&quot;\ #,##0.00"/>
  </numFmts>
  <fonts count="4" x14ac:knownFonts="1">
    <font>
      <sz val="11"/>
      <color theme="1"/>
      <name val="Aptos Narrow"/>
      <charset val="134"/>
      <scheme val="minor"/>
    </font>
    <font>
      <b/>
      <sz val="20"/>
      <color rgb="FF000000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b/>
      <sz val="12"/>
      <color theme="1"/>
      <name val="Aptos Narrow"/>
      <charset val="134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3" borderId="0" xfId="0" applyFont="1" applyFill="1"/>
    <xf numFmtId="0" fontId="0" fillId="4" borderId="0" xfId="0" applyFill="1"/>
    <xf numFmtId="166" fontId="0" fillId="4" borderId="0" xfId="0" applyNumberFormat="1" applyFill="1"/>
    <xf numFmtId="166" fontId="2" fillId="3" borderId="0" xfId="0" applyNumberFormat="1" applyFont="1" applyFill="1"/>
    <xf numFmtId="167" fontId="0" fillId="0" borderId="0" xfId="0" applyNumberFormat="1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166" fontId="0" fillId="0" borderId="0" xfId="0" applyNumberFormat="1" applyAlignment="1">
      <alignment horizontal="center"/>
    </xf>
    <xf numFmtId="168" fontId="0" fillId="0" borderId="0" xfId="0" applyNumberFormat="1" applyAlignment="1">
      <alignment horizontal="center"/>
    </xf>
    <xf numFmtId="0" fontId="0" fillId="5" borderId="0" xfId="0" applyFill="1" applyAlignment="1">
      <alignment horizontal="center"/>
    </xf>
    <xf numFmtId="0" fontId="0" fillId="3" borderId="0" xfId="0" applyFill="1"/>
    <xf numFmtId="0" fontId="0" fillId="6" borderId="0" xfId="0" applyFill="1"/>
    <xf numFmtId="0" fontId="0" fillId="7" borderId="0" xfId="0" applyFill="1"/>
    <xf numFmtId="167" fontId="0" fillId="8" borderId="0" xfId="0" applyNumberFormat="1" applyFill="1" applyAlignment="1">
      <alignment horizontal="center"/>
    </xf>
    <xf numFmtId="167" fontId="0" fillId="9" borderId="0" xfId="0" applyNumberFormat="1" applyFill="1" applyAlignment="1">
      <alignment horizontal="center"/>
    </xf>
    <xf numFmtId="0" fontId="0" fillId="6" borderId="0" xfId="0" applyFill="1" applyAlignment="1">
      <alignment horizontal="center"/>
    </xf>
    <xf numFmtId="14" fontId="0" fillId="10" borderId="0" xfId="0" applyNumberFormat="1" applyFill="1" applyAlignment="1">
      <alignment horizontal="center"/>
    </xf>
    <xf numFmtId="0" fontId="3" fillId="5" borderId="0" xfId="0" applyFont="1" applyFill="1" applyAlignment="1">
      <alignment horizontal="center"/>
    </xf>
    <xf numFmtId="0" fontId="3" fillId="3" borderId="0" xfId="0" applyFont="1" applyFill="1"/>
    <xf numFmtId="0" fontId="3" fillId="6" borderId="0" xfId="0" applyFont="1" applyFill="1"/>
    <xf numFmtId="0" fontId="3" fillId="7" borderId="0" xfId="0" applyFont="1" applyFill="1"/>
    <xf numFmtId="167" fontId="3" fillId="8" borderId="0" xfId="0" applyNumberFormat="1" applyFont="1" applyFill="1" applyAlignment="1">
      <alignment horizontal="center"/>
    </xf>
    <xf numFmtId="167" fontId="3" fillId="9" borderId="0" xfId="0" applyNumberFormat="1" applyFont="1" applyFill="1" applyAlignment="1">
      <alignment horizontal="center"/>
    </xf>
    <xf numFmtId="0" fontId="3" fillId="6" borderId="0" xfId="0" applyFont="1" applyFill="1" applyAlignment="1">
      <alignment horizontal="center"/>
    </xf>
    <xf numFmtId="14" fontId="3" fillId="10" borderId="0" xfId="0" applyNumberFormat="1" applyFont="1" applyFill="1" applyAlignment="1">
      <alignment horizontal="center"/>
    </xf>
    <xf numFmtId="0" fontId="2" fillId="0" borderId="0" xfId="0" applyFont="1"/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pivotButton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3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Analysis Dashboard.xlsx]Pivot Table!PivotTable1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Region Wise Sales Chart</a:t>
            </a:r>
          </a:p>
        </c:rich>
      </c:tx>
      <c:overlay val="0"/>
      <c:spPr>
        <a:solidFill>
          <a:srgbClr val="82CAEC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Table'!$A$4:$A$5</c:f>
              <c:strCache>
                <c:ptCount val="1"/>
                <c:pt idx="0">
                  <c:v>South</c:v>
                </c:pt>
              </c:strCache>
            </c:strRef>
          </c:cat>
          <c:val>
            <c:numRef>
              <c:f>'Pivot Table'!$B$4:$B$5</c:f>
              <c:numCache>
                <c:formatCode>[$₹-439]#,##0</c:formatCode>
                <c:ptCount val="1"/>
                <c:pt idx="0">
                  <c:v>34150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A7-4411-AFB8-387F7BE187A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121676295"/>
        <c:axId val="540710407"/>
      </c:barChart>
      <c:catAx>
        <c:axId val="21216762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Region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710407"/>
        <c:crosses val="autoZero"/>
        <c:auto val="1"/>
        <c:lblAlgn val="ctr"/>
        <c:lblOffset val="100"/>
        <c:noMultiLvlLbl val="0"/>
      </c:catAx>
      <c:valAx>
        <c:axId val="54071040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₹-439]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16762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fa039d1-67c2-476f-a4ee-46192e0f2f8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Analysis Dashboard.xlsx]Pivot Table!PivotTable2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 Wise Sales Chart</a:t>
            </a:r>
          </a:p>
        </c:rich>
      </c:tx>
      <c:overlay val="0"/>
      <c:spPr>
        <a:solidFill>
          <a:srgbClr val="E49EDD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Table'!$B$11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255-4CC5-9BEC-F137A3F47F8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255-4CC5-9BEC-F137A3F47F8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Table'!$A$12:$A$14</c:f>
              <c:strCache>
                <c:ptCount val="2"/>
                <c:pt idx="0">
                  <c:v>Accessories</c:v>
                </c:pt>
                <c:pt idx="1">
                  <c:v>Electronics</c:v>
                </c:pt>
              </c:strCache>
            </c:strRef>
          </c:cat>
          <c:val>
            <c:numRef>
              <c:f>'Pivot Table'!$B$12:$B$14</c:f>
              <c:numCache>
                <c:formatCode>[$₹-439]#,##0</c:formatCode>
                <c:ptCount val="2"/>
                <c:pt idx="0">
                  <c:v>126150</c:v>
                </c:pt>
                <c:pt idx="1">
                  <c:v>215400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255-4CC5-9BEC-F137A3F47F8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9419c4b-8785-4577-8fda-4279d13b38d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Analysis Dashboard.xlsx]Pivot Table!PivotTable3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Wise Sales Chart</a:t>
            </a:r>
          </a:p>
        </c:rich>
      </c:tx>
      <c:overlay val="0"/>
      <c:spPr>
        <a:solidFill>
          <a:srgbClr val="8ED973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B5E6A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Table'!$B$17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B5E6A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Table'!$A$18:$A$25</c:f>
              <c:strCache>
                <c:ptCount val="7"/>
                <c:pt idx="0">
                  <c:v>Headphones</c:v>
                </c:pt>
                <c:pt idx="1">
                  <c:v>Keyboard</c:v>
                </c:pt>
                <c:pt idx="2">
                  <c:v>Laptop</c:v>
                </c:pt>
                <c:pt idx="3">
                  <c:v>Mobile</c:v>
                </c:pt>
                <c:pt idx="4">
                  <c:v>Monitor</c:v>
                </c:pt>
                <c:pt idx="5">
                  <c:v>Mouse</c:v>
                </c:pt>
                <c:pt idx="6">
                  <c:v>Tablet</c:v>
                </c:pt>
              </c:strCache>
            </c:strRef>
          </c:cat>
          <c:val>
            <c:numRef>
              <c:f>'Pivot Table'!$B$18:$B$25</c:f>
              <c:numCache>
                <c:formatCode>[$₹-439]#,##0</c:formatCode>
                <c:ptCount val="7"/>
                <c:pt idx="0">
                  <c:v>30950</c:v>
                </c:pt>
                <c:pt idx="1">
                  <c:v>18500</c:v>
                </c:pt>
                <c:pt idx="2">
                  <c:v>26800</c:v>
                </c:pt>
                <c:pt idx="3">
                  <c:v>82950</c:v>
                </c:pt>
                <c:pt idx="4">
                  <c:v>34150</c:v>
                </c:pt>
                <c:pt idx="5">
                  <c:v>76700</c:v>
                </c:pt>
                <c:pt idx="6">
                  <c:v>71500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44-418A-90F6-C347E34E215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81595912"/>
        <c:axId val="481597960"/>
      </c:barChart>
      <c:catAx>
        <c:axId val="48159591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Products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1597960"/>
        <c:crosses val="autoZero"/>
        <c:auto val="1"/>
        <c:lblAlgn val="ctr"/>
        <c:lblOffset val="100"/>
        <c:noMultiLvlLbl val="0"/>
      </c:catAx>
      <c:valAx>
        <c:axId val="481597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₹-439]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1595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c3c092f-6e1b-4af6-98e9-635eac9b449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485775</xdr:colOff>
      <xdr:row>16</xdr:row>
      <xdr:rowOff>19050</xdr:rowOff>
    </xdr:from>
    <xdr:to>
      <xdr:col>7</xdr:col>
      <xdr:colOff>485775</xdr:colOff>
      <xdr:row>27</xdr:row>
      <xdr:rowOff>95250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Product">
              <a:extLst>
                <a:ext uri="{FF2B5EF4-FFF2-40B4-BE49-F238E27FC236}">
                  <a16:creationId xmlns:a16="http://schemas.microsoft.com/office/drawing/2014/main" id="{00000000-0008-0000-0200-000002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"/>
            </a:graphicData>
          </a:graphic>
        </xdr:graphicFrame>
      </mc:Choice>
      <mc:Fallback xmlns="" xmlns:r="http://schemas.openxmlformats.org/officeDocument/2006/relationships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058285" y="2823210"/>
              <a:ext cx="2057400" cy="20040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4</xdr:col>
      <xdr:colOff>523875</xdr:colOff>
      <xdr:row>9</xdr:row>
      <xdr:rowOff>133350</xdr:rowOff>
    </xdr:from>
    <xdr:to>
      <xdr:col>7</xdr:col>
      <xdr:colOff>569595</xdr:colOff>
      <xdr:row>15</xdr:row>
      <xdr:rowOff>90805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Category">
              <a:extLst>
                <a:ext uri="{FF2B5EF4-FFF2-40B4-BE49-F238E27FC236}">
                  <a16:creationId xmlns:a16="http://schemas.microsoft.com/office/drawing/2014/main" id="{00000000-0008-0000-0200-000003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 xmlns="" xmlns:r="http://schemas.openxmlformats.org/officeDocument/2006/relationships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096385" y="1710690"/>
              <a:ext cx="2103120" cy="100901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4</xdr:col>
      <xdr:colOff>504825</xdr:colOff>
      <xdr:row>1</xdr:row>
      <xdr:rowOff>133350</xdr:rowOff>
    </xdr:from>
    <xdr:to>
      <xdr:col>7</xdr:col>
      <xdr:colOff>474345</xdr:colOff>
      <xdr:row>9</xdr:row>
      <xdr:rowOff>5715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Region">
              <a:extLst>
                <a:ext uri="{FF2B5EF4-FFF2-40B4-BE49-F238E27FC236}">
                  <a16:creationId xmlns:a16="http://schemas.microsoft.com/office/drawing/2014/main" id="{00000000-0008-0000-0200-000004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 xmlns:r="http://schemas.openxmlformats.org/officeDocument/2006/relationships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077335" y="308610"/>
              <a:ext cx="2026920" cy="127444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7</xdr:row>
      <xdr:rowOff>95250</xdr:rowOff>
    </xdr:from>
    <xdr:to>
      <xdr:col>4</xdr:col>
      <xdr:colOff>666750</xdr:colOff>
      <xdr:row>22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419100</xdr:colOff>
      <xdr:row>7</xdr:row>
      <xdr:rowOff>95250</xdr:rowOff>
    </xdr:from>
    <xdr:to>
      <xdr:col>12</xdr:col>
      <xdr:colOff>276225</xdr:colOff>
      <xdr:row>22</xdr:row>
      <xdr:rowOff>19050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85725</xdr:colOff>
      <xdr:row>7</xdr:row>
      <xdr:rowOff>85725</xdr:rowOff>
    </xdr:from>
    <xdr:to>
      <xdr:col>19</xdr:col>
      <xdr:colOff>542925</xdr:colOff>
      <xdr:row>22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02.915669675902" createdVersion="8" refreshedVersion="8" minRefreshableVersion="3" recordCount="70" xr:uid="{00000000-000A-0000-FFFF-FFFF00000000}">
  <cacheSource type="worksheet">
    <worksheetSource ref="A1:H71" sheet="Raw Data"/>
  </cacheSource>
  <cacheFields count="8">
    <cacheField name="OrderID" numFmtId="0">
      <sharedItems containsSemiMixedTypes="0" containsNonDate="0" containsString="0" containsNumber="1" containsInteger="1" minValue="1" maxValue="70"/>
    </cacheField>
    <cacheField name="Product" numFmtId="0">
      <sharedItems count="7">
        <s v="Laptop"/>
        <s v="Mobile"/>
        <s v="Tablet"/>
        <s v="Headphones"/>
        <s v="Keyboard"/>
        <s v="Mouse"/>
        <s v="Monitor"/>
      </sharedItems>
    </cacheField>
    <cacheField name="Category" numFmtId="0">
      <sharedItems count="2">
        <s v="Electronics"/>
        <s v="Accessories"/>
      </sharedItems>
    </cacheField>
    <cacheField name="Region" numFmtId="0">
      <sharedItems count="4">
        <s v="North"/>
        <s v="South"/>
        <s v="East"/>
        <s v="West"/>
      </sharedItems>
    </cacheField>
    <cacheField name="Sales" numFmtId="167">
      <sharedItems containsSemiMixedTypes="0" containsNonDate="0" containsString="0" containsNumber="1" containsInteger="1" minValue="1950" maxValue="62500"/>
    </cacheField>
    <cacheField name="Profit" numFmtId="167">
      <sharedItems containsSemiMixedTypes="0" containsNonDate="0" containsString="0" containsNumber="1" containsInteger="1" minValue="390" maxValue="9800"/>
    </cacheField>
    <cacheField name="Quantity" numFmtId="0">
      <sharedItems containsSemiMixedTypes="0" containsNonDate="0" containsString="0" containsNumber="1" containsInteger="1" minValue="2" maxValue="6"/>
    </cacheField>
    <cacheField name="Date" numFmtId="14">
      <sharedItems containsNonDate="0" containsDate="1" containsMixedTypes="1" minDate="2024-01-02T00:00:00" maxDate="2024-12-04T00:00:00"/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0">
  <r>
    <n v="1"/>
    <x v="0"/>
    <x v="0"/>
    <x v="0"/>
    <n v="62500"/>
    <n v="9800"/>
    <n v="2"/>
    <d v="2024-02-01T00:00:00"/>
  </r>
  <r>
    <n v="2"/>
    <x v="1"/>
    <x v="0"/>
    <x v="1"/>
    <n v="61500"/>
    <n v="9600"/>
    <n v="3"/>
    <d v="2024-05-01T00:00:00"/>
  </r>
  <r>
    <n v="3"/>
    <x v="2"/>
    <x v="0"/>
    <x v="2"/>
    <n v="60500"/>
    <n v="9400"/>
    <n v="2"/>
    <d v="2024-06-01T00:00:00"/>
  </r>
  <r>
    <n v="4"/>
    <x v="3"/>
    <x v="1"/>
    <x v="3"/>
    <n v="59000"/>
    <n v="9100"/>
    <n v="5"/>
    <d v="2024-07-01T00:00:00"/>
  </r>
  <r>
    <n v="5"/>
    <x v="4"/>
    <x v="1"/>
    <x v="0"/>
    <n v="58000"/>
    <n v="9000"/>
    <n v="4"/>
    <d v="2024-08-01T00:00:00"/>
  </r>
  <r>
    <n v="6"/>
    <x v="5"/>
    <x v="1"/>
    <x v="1"/>
    <n v="57000"/>
    <n v="8900"/>
    <n v="5"/>
    <d v="2024-10-01T00:00:00"/>
  </r>
  <r>
    <n v="7"/>
    <x v="6"/>
    <x v="0"/>
    <x v="2"/>
    <n v="56000"/>
    <n v="8700"/>
    <n v="2"/>
    <d v="2024-11-01T00:00:00"/>
  </r>
  <r>
    <n v="8"/>
    <x v="0"/>
    <x v="0"/>
    <x v="3"/>
    <n v="55000"/>
    <n v="8500"/>
    <n v="2"/>
    <d v="2024-12-01T00:00:00"/>
  </r>
  <r>
    <n v="9"/>
    <x v="1"/>
    <x v="0"/>
    <x v="0"/>
    <n v="54000"/>
    <n v="8200"/>
    <n v="3"/>
    <s v="13-01-2024"/>
  </r>
  <r>
    <n v="10"/>
    <x v="2"/>
    <x v="0"/>
    <x v="1"/>
    <n v="53000"/>
    <n v="8100"/>
    <n v="2"/>
    <s v="15-01-2024"/>
  </r>
  <r>
    <n v="11"/>
    <x v="3"/>
    <x v="1"/>
    <x v="2"/>
    <n v="52000"/>
    <n v="8000"/>
    <n v="6"/>
    <s v="16-01-2024"/>
  </r>
  <r>
    <n v="12"/>
    <x v="4"/>
    <x v="1"/>
    <x v="3"/>
    <n v="25800"/>
    <n v="4200"/>
    <n v="4"/>
    <s v="18-01-2024"/>
  </r>
  <r>
    <n v="13"/>
    <x v="5"/>
    <x v="1"/>
    <x v="0"/>
    <n v="25200"/>
    <n v="4100"/>
    <n v="5"/>
    <s v="19-01-2024"/>
  </r>
  <r>
    <n v="14"/>
    <x v="6"/>
    <x v="0"/>
    <x v="1"/>
    <n v="24800"/>
    <n v="4000"/>
    <n v="2"/>
    <s v="20-01-2024"/>
  </r>
  <r>
    <n v="15"/>
    <x v="0"/>
    <x v="0"/>
    <x v="2"/>
    <n v="23500"/>
    <n v="3800"/>
    <n v="2"/>
    <s v="22-01-2024"/>
  </r>
  <r>
    <n v="16"/>
    <x v="1"/>
    <x v="0"/>
    <x v="3"/>
    <n v="23000"/>
    <n v="3700"/>
    <n v="3"/>
    <s v="24-01-2024"/>
  </r>
  <r>
    <n v="17"/>
    <x v="2"/>
    <x v="0"/>
    <x v="0"/>
    <n v="22500"/>
    <n v="3600"/>
    <n v="2"/>
    <s v="25-01-2024"/>
  </r>
  <r>
    <n v="18"/>
    <x v="3"/>
    <x v="1"/>
    <x v="1"/>
    <n v="22500"/>
    <n v="3500"/>
    <n v="5"/>
    <s v="26-01-2024"/>
  </r>
  <r>
    <n v="19"/>
    <x v="4"/>
    <x v="1"/>
    <x v="2"/>
    <n v="22000"/>
    <n v="3500"/>
    <n v="4"/>
    <s v="28-01-2024"/>
  </r>
  <r>
    <n v="20"/>
    <x v="5"/>
    <x v="1"/>
    <x v="3"/>
    <n v="21500"/>
    <n v="3300"/>
    <n v="5"/>
    <s v="29-01-2024"/>
  </r>
  <r>
    <n v="21"/>
    <x v="6"/>
    <x v="0"/>
    <x v="0"/>
    <n v="21000"/>
    <n v="3200"/>
    <n v="2"/>
    <d v="2024-01-02T00:00:00"/>
  </r>
  <r>
    <n v="22"/>
    <x v="0"/>
    <x v="0"/>
    <x v="1"/>
    <n v="20800"/>
    <n v="3050"/>
    <n v="2"/>
    <d v="2024-02-02T00:00:00"/>
  </r>
  <r>
    <n v="23"/>
    <x v="1"/>
    <x v="0"/>
    <x v="2"/>
    <n v="20200"/>
    <n v="3050"/>
    <n v="3"/>
    <d v="2024-03-02T00:00:00"/>
  </r>
  <r>
    <n v="24"/>
    <x v="2"/>
    <x v="0"/>
    <x v="3"/>
    <n v="19800"/>
    <n v="3000"/>
    <n v="2"/>
    <d v="2024-04-02T00:00:00"/>
  </r>
  <r>
    <n v="25"/>
    <x v="3"/>
    <x v="1"/>
    <x v="0"/>
    <n v="19000"/>
    <n v="2950"/>
    <n v="5"/>
    <d v="2024-05-02T00:00:00"/>
  </r>
  <r>
    <n v="26"/>
    <x v="4"/>
    <x v="1"/>
    <x v="1"/>
    <n v="18500"/>
    <n v="2850"/>
    <n v="4"/>
    <d v="2024-06-02T00:00:00"/>
  </r>
  <r>
    <n v="27"/>
    <x v="5"/>
    <x v="1"/>
    <x v="2"/>
    <n v="18200"/>
    <n v="2800"/>
    <n v="5"/>
    <d v="2024-07-02T00:00:00"/>
  </r>
  <r>
    <n v="28"/>
    <x v="6"/>
    <x v="0"/>
    <x v="3"/>
    <n v="18000"/>
    <n v="2700"/>
    <n v="2"/>
    <d v="2024-08-02T00:00:00"/>
  </r>
  <r>
    <n v="29"/>
    <x v="0"/>
    <x v="0"/>
    <x v="0"/>
    <n v="17900"/>
    <n v="2700"/>
    <n v="2"/>
    <d v="2024-09-02T00:00:00"/>
  </r>
  <r>
    <n v="30"/>
    <x v="1"/>
    <x v="0"/>
    <x v="1"/>
    <n v="17800"/>
    <n v="2700"/>
    <n v="3"/>
    <d v="2024-10-02T00:00:00"/>
  </r>
  <r>
    <n v="31"/>
    <x v="2"/>
    <x v="0"/>
    <x v="2"/>
    <n v="17600"/>
    <n v="2600"/>
    <n v="2"/>
    <d v="2024-11-02T00:00:00"/>
  </r>
  <r>
    <n v="32"/>
    <x v="3"/>
    <x v="1"/>
    <x v="3"/>
    <n v="17500"/>
    <n v="2600"/>
    <n v="5"/>
    <d v="2024-12-02T00:00:00"/>
  </r>
  <r>
    <n v="33"/>
    <x v="4"/>
    <x v="1"/>
    <x v="0"/>
    <n v="17000"/>
    <n v="2600"/>
    <n v="4"/>
    <s v="13-02-2024"/>
  </r>
  <r>
    <n v="34"/>
    <x v="5"/>
    <x v="1"/>
    <x v="1"/>
    <n v="16500"/>
    <n v="2550"/>
    <n v="5"/>
    <s v="14-02-2024"/>
  </r>
  <r>
    <n v="35"/>
    <x v="6"/>
    <x v="0"/>
    <x v="2"/>
    <n v="16200"/>
    <n v="2500"/>
    <n v="2"/>
    <s v="15-02-2024"/>
  </r>
  <r>
    <n v="36"/>
    <x v="0"/>
    <x v="0"/>
    <x v="3"/>
    <n v="16000"/>
    <n v="2500"/>
    <n v="2"/>
    <s v="16-02-2024"/>
  </r>
  <r>
    <n v="37"/>
    <x v="1"/>
    <x v="0"/>
    <x v="0"/>
    <n v="15800"/>
    <n v="2500"/>
    <n v="3"/>
    <s v="17-02-2024"/>
  </r>
  <r>
    <n v="38"/>
    <x v="2"/>
    <x v="0"/>
    <x v="1"/>
    <n v="15500"/>
    <n v="2450"/>
    <n v="2"/>
    <s v="18-02-2024"/>
  </r>
  <r>
    <n v="39"/>
    <x v="3"/>
    <x v="1"/>
    <x v="2"/>
    <n v="15200"/>
    <n v="2400"/>
    <n v="5"/>
    <s v="19-02-2024"/>
  </r>
  <r>
    <n v="40"/>
    <x v="4"/>
    <x v="1"/>
    <x v="3"/>
    <n v="15000"/>
    <n v="2300"/>
    <n v="4"/>
    <s v="20-02-2024"/>
  </r>
  <r>
    <n v="41"/>
    <x v="5"/>
    <x v="1"/>
    <x v="0"/>
    <n v="7350"/>
    <n v="1520"/>
    <n v="5"/>
    <s v="21-02-2024"/>
  </r>
  <r>
    <n v="42"/>
    <x v="6"/>
    <x v="0"/>
    <x v="1"/>
    <n v="7200"/>
    <n v="1500"/>
    <n v="2"/>
    <s v="22-02-2024"/>
  </r>
  <r>
    <n v="43"/>
    <x v="0"/>
    <x v="0"/>
    <x v="2"/>
    <n v="7050"/>
    <n v="1420"/>
    <n v="2"/>
    <s v="23-02-2024"/>
  </r>
  <r>
    <n v="44"/>
    <x v="1"/>
    <x v="0"/>
    <x v="3"/>
    <n v="6500"/>
    <n v="1300"/>
    <n v="3"/>
    <s v="24-02-2024"/>
  </r>
  <r>
    <n v="45"/>
    <x v="2"/>
    <x v="0"/>
    <x v="0"/>
    <n v="6500"/>
    <n v="1300"/>
    <n v="2"/>
    <s v="25-02-2024"/>
  </r>
  <r>
    <n v="46"/>
    <x v="3"/>
    <x v="1"/>
    <x v="1"/>
    <n v="6400"/>
    <n v="1280"/>
    <n v="5"/>
    <s v="26-02-2024"/>
  </r>
  <r>
    <n v="47"/>
    <x v="4"/>
    <x v="1"/>
    <x v="2"/>
    <n v="6300"/>
    <n v="1260"/>
    <n v="4"/>
    <s v="27-02-2024"/>
  </r>
  <r>
    <n v="48"/>
    <x v="5"/>
    <x v="1"/>
    <x v="3"/>
    <n v="6200"/>
    <n v="1250"/>
    <n v="5"/>
    <s v="28-02-2024"/>
  </r>
  <r>
    <n v="49"/>
    <x v="6"/>
    <x v="0"/>
    <x v="0"/>
    <n v="6100"/>
    <n v="1200"/>
    <n v="2"/>
    <d v="2024-01-03T00:00:00"/>
  </r>
  <r>
    <n v="50"/>
    <x v="0"/>
    <x v="0"/>
    <x v="1"/>
    <n v="6000"/>
    <n v="1200"/>
    <n v="2"/>
    <d v="2024-02-03T00:00:00"/>
  </r>
  <r>
    <n v="51"/>
    <x v="0"/>
    <x v="0"/>
    <x v="0"/>
    <n v="3750"/>
    <n v="880"/>
    <n v="2"/>
    <d v="2024-03-03T00:00:00"/>
  </r>
  <r>
    <n v="52"/>
    <x v="1"/>
    <x v="0"/>
    <x v="1"/>
    <n v="3650"/>
    <n v="860"/>
    <n v="3"/>
    <d v="2024-04-03T00:00:00"/>
  </r>
  <r>
    <n v="53"/>
    <x v="2"/>
    <x v="0"/>
    <x v="2"/>
    <n v="3550"/>
    <n v="830"/>
    <n v="2"/>
    <d v="2024-05-03T00:00:00"/>
  </r>
  <r>
    <n v="54"/>
    <x v="3"/>
    <x v="1"/>
    <x v="3"/>
    <n v="3300"/>
    <n v="780"/>
    <n v="5"/>
    <d v="2024-06-03T00:00:00"/>
  </r>
  <r>
    <n v="55"/>
    <x v="4"/>
    <x v="1"/>
    <x v="0"/>
    <n v="3250"/>
    <n v="760"/>
    <n v="4"/>
    <d v="2024-07-03T00:00:00"/>
  </r>
  <r>
    <n v="56"/>
    <x v="5"/>
    <x v="1"/>
    <x v="1"/>
    <n v="3200"/>
    <n v="750"/>
    <n v="5"/>
    <d v="2024-08-03T00:00:00"/>
  </r>
  <r>
    <n v="57"/>
    <x v="6"/>
    <x v="0"/>
    <x v="2"/>
    <n v="3150"/>
    <n v="740"/>
    <n v="2"/>
    <d v="2024-09-03T00:00:00"/>
  </r>
  <r>
    <n v="58"/>
    <x v="0"/>
    <x v="0"/>
    <x v="3"/>
    <n v="3100"/>
    <n v="720"/>
    <n v="2"/>
    <d v="2024-10-03T00:00:00"/>
  </r>
  <r>
    <n v="59"/>
    <x v="1"/>
    <x v="0"/>
    <x v="0"/>
    <n v="3050"/>
    <n v="710"/>
    <n v="3"/>
    <d v="2024-11-03T00:00:00"/>
  </r>
  <r>
    <n v="60"/>
    <x v="2"/>
    <x v="0"/>
    <x v="1"/>
    <n v="3000"/>
    <n v="700"/>
    <n v="2"/>
    <d v="2024-12-03T00:00:00"/>
  </r>
  <r>
    <n v="61"/>
    <x v="3"/>
    <x v="1"/>
    <x v="2"/>
    <n v="2500"/>
    <n v="500"/>
    <n v="5"/>
    <s v="13-03-2024"/>
  </r>
  <r>
    <n v="62"/>
    <x v="4"/>
    <x v="1"/>
    <x v="3"/>
    <n v="2400"/>
    <n v="480"/>
    <n v="4"/>
    <s v="14-03-2024"/>
  </r>
  <r>
    <n v="63"/>
    <x v="5"/>
    <x v="1"/>
    <x v="0"/>
    <n v="2300"/>
    <n v="460"/>
    <n v="5"/>
    <s v="15-03-2024"/>
  </r>
  <r>
    <n v="64"/>
    <x v="6"/>
    <x v="0"/>
    <x v="1"/>
    <n v="2150"/>
    <n v="430"/>
    <n v="2"/>
    <s v="16-03-2024"/>
  </r>
  <r>
    <n v="65"/>
    <x v="0"/>
    <x v="0"/>
    <x v="2"/>
    <n v="2100"/>
    <n v="420"/>
    <n v="2"/>
    <s v="17-03-2024"/>
  </r>
  <r>
    <n v="66"/>
    <x v="1"/>
    <x v="0"/>
    <x v="3"/>
    <n v="2100"/>
    <n v="420"/>
    <n v="3"/>
    <s v="18-03-2024"/>
  </r>
  <r>
    <n v="67"/>
    <x v="2"/>
    <x v="0"/>
    <x v="0"/>
    <n v="2050"/>
    <n v="410"/>
    <n v="2"/>
    <s v="19-03-2024"/>
  </r>
  <r>
    <n v="68"/>
    <x v="3"/>
    <x v="1"/>
    <x v="1"/>
    <n v="2050"/>
    <n v="410"/>
    <n v="5"/>
    <s v="20-03-2024"/>
  </r>
  <r>
    <n v="69"/>
    <x v="4"/>
    <x v="1"/>
    <x v="2"/>
    <n v="2000"/>
    <n v="400"/>
    <n v="4"/>
    <s v="21-03-2024"/>
  </r>
  <r>
    <n v="70"/>
    <x v="5"/>
    <x v="1"/>
    <x v="3"/>
    <n v="1950"/>
    <n v="390"/>
    <n v="5"/>
    <s v="22-03-202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2000000}" name="PivotTable3" cacheId="0" applyNumberFormats="0" applyBorderFormats="0" applyFontFormats="0" applyPatternFormats="0" applyAlignmentFormats="0" applyWidthHeightFormats="1" dataCaption="Values" updatedVersion="8" minRefreshableVersion="3" useAutoFormatting="1" createdVersion="8" indent="0" compact="0" compactData="0" multipleFieldFilters="0" chartFormat="1">
  <location ref="A17:B25" firstHeaderRow="1" firstDataRow="1" firstDataCol="1"/>
  <pivotFields count="8">
    <pivotField compact="0" outline="0" showAll="0"/>
    <pivotField axis="axisRow" compact="0" outline="0" showAll="0">
      <items count="8">
        <item x="3"/>
        <item x="4"/>
        <item x="0"/>
        <item x="1"/>
        <item x="6"/>
        <item x="5"/>
        <item x="2"/>
        <item t="default"/>
      </items>
    </pivotField>
    <pivotField compact="0" outline="0" showAll="0">
      <items count="3">
        <item x="1"/>
        <item x="0"/>
        <item t="default"/>
      </items>
    </pivotField>
    <pivotField compact="0" outline="0" showAll="0">
      <items count="5">
        <item h="1" x="2"/>
        <item h="1" x="0"/>
        <item x="1"/>
        <item h="1" x="3"/>
        <item t="default"/>
      </items>
    </pivotField>
    <pivotField dataField="1" compact="0" numFmtId="167" outline="0" showAll="0"/>
    <pivotField compact="0" numFmtId="167" outline="0" showAll="0"/>
    <pivotField compact="0" outline="0" showAll="0"/>
    <pivotField compact="0" outline="0"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Total Sales" fld="4" baseField="0" baseItem="0" numFmtId="167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Dark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PivotTable2" cacheId="0" applyNumberFormats="0" applyBorderFormats="0" applyFontFormats="0" applyPatternFormats="0" applyAlignmentFormats="0" applyWidthHeightFormats="1" dataCaption="Values" updatedVersion="8" minRefreshableVersion="3" useAutoFormatting="1" createdVersion="8" indent="0" compact="0" compactData="0" multipleFieldFilters="0" chartFormat="1">
  <location ref="A11:B14" firstHeaderRow="1" firstDataRow="1" firstDataCol="1"/>
  <pivotFields count="8">
    <pivotField compact="0" outline="0" showAll="0"/>
    <pivotField compact="0" outline="0" showAll="0">
      <items count="8">
        <item x="3"/>
        <item x="4"/>
        <item x="0"/>
        <item x="1"/>
        <item x="6"/>
        <item x="5"/>
        <item x="2"/>
        <item t="default"/>
      </items>
    </pivotField>
    <pivotField axis="axisRow" compact="0" outline="0" showAll="0">
      <items count="3">
        <item x="1"/>
        <item x="0"/>
        <item t="default"/>
      </items>
    </pivotField>
    <pivotField compact="0" outline="0" showAll="0">
      <items count="5">
        <item h="1" x="2"/>
        <item h="1" x="0"/>
        <item x="1"/>
        <item h="1" x="3"/>
        <item t="default"/>
      </items>
    </pivotField>
    <pivotField dataField="1" compact="0" numFmtId="167" outline="0" showAll="0"/>
    <pivotField compact="0" numFmtId="167" outline="0" showAll="0"/>
    <pivotField compact="0" outline="0" showAll="0"/>
    <pivotField compact="0" outline="0"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Total Sales" fld="4" baseField="0" baseItem="0" numFmtId="167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Dark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1" cacheId="0" applyNumberFormats="0" applyBorderFormats="0" applyFontFormats="0" applyPatternFormats="0" applyAlignmentFormats="0" applyWidthHeightFormats="1" dataCaption="Values" updatedVersion="8" minRefreshableVersion="3" useAutoFormatting="1" createdVersion="8" indent="0" compact="0" compactData="0" multipleFieldFilters="0" chartFormat="2">
  <location ref="A3:B5" firstHeaderRow="1" firstDataRow="1" firstDataCol="1"/>
  <pivotFields count="8">
    <pivotField compact="0" outline="0" showAll="0"/>
    <pivotField compact="0" outline="0" showAll="0">
      <items count="8">
        <item h="1" x="3"/>
        <item h="1" x="4"/>
        <item h="1" x="0"/>
        <item h="1" x="1"/>
        <item x="6"/>
        <item h="1" x="5"/>
        <item h="1" x="2"/>
        <item t="default"/>
      </items>
    </pivotField>
    <pivotField compact="0" outline="0" showAll="0">
      <items count="3">
        <item x="1"/>
        <item x="0"/>
        <item t="default"/>
      </items>
    </pivotField>
    <pivotField axis="axisRow" compact="0" outline="0" showAll="0">
      <items count="5">
        <item h="1" x="2"/>
        <item h="1" x="0"/>
        <item x="1"/>
        <item h="1" x="3"/>
        <item t="default"/>
      </items>
    </pivotField>
    <pivotField dataField="1" compact="0" numFmtId="167" outline="0" showAll="0"/>
    <pivotField compact="0" numFmtId="167" outline="0" showAll="0"/>
    <pivotField compact="0" outline="0" showAll="0"/>
    <pivotField compact="0" outline="0" showAll="0"/>
  </pivotFields>
  <rowFields count="1">
    <field x="3"/>
  </rowFields>
  <rowItems count="2">
    <i>
      <x v="2"/>
    </i>
    <i t="grand">
      <x/>
    </i>
  </rowItems>
  <colItems count="1">
    <i/>
  </colItems>
  <dataFields count="1">
    <dataField name="Total  Sales" fld="4" baseField="0" baseItem="0" numFmtId="167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Dark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roduct" xr10:uid="{00000000-0013-0000-FFFF-FFFF01000000}" sourceName="Product">
  <pivotTables>
    <pivotTable tabId="4" name="PivotTable1"/>
  </pivotTables>
  <data>
    <tabular pivotCacheId="1">
      <items count="7">
        <i x="3"/>
        <i x="4"/>
        <i x="0"/>
        <i x="1"/>
        <i x="6" s="1"/>
        <i x="5"/>
        <i x="2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ategory" xr10:uid="{00000000-0013-0000-FFFF-FFFF02000000}" sourceName="Category">
  <pivotTables>
    <pivotTable tabId="4" name="PivotTable1"/>
  </pivotTables>
  <data>
    <tabular pivotCacheId="1">
      <items count="2">
        <i x="0" s="1"/>
        <i x="1" s="1" nd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Region" xr10:uid="{00000000-0013-0000-FFFF-FFFF03000000}" sourceName="Region">
  <pivotTables>
    <pivotTable tabId="4" name="PivotTable1"/>
    <pivotTable tabId="4" name="PivotTable3"/>
    <pivotTable tabId="4" name="PivotTable2"/>
  </pivotTables>
  <data>
    <tabular pivotCacheId="1">
      <items count="4">
        <i x="2"/>
        <i x="0"/>
        <i x="1" s="1"/>
        <i x="3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roduct" xr10:uid="{00000000-0014-0000-FFFF-FFFF01000000}" cache="Slicer_Product" caption="Product" style="SlicerStyleLight2" rowHeight="228600"/>
  <slicer name="Category" xr10:uid="{00000000-0014-0000-FFFF-FFFF02000000}" cache="Slicer_Category" caption="Category" style="SlicerStyleLight6" rowHeight="228600"/>
  <slicer name="Region" xr10:uid="{00000000-0014-0000-FFFF-FFFF03000000}" cache="Slicer_Region" caption="Region" style="SlicerStyleLight5" rowHeight="22860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microsoft.com/office/2007/relationships/slicer" Target="../slicers/slicer1.xml"/><Relationship Id="rId4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1"/>
  <sheetViews>
    <sheetView workbookViewId="0">
      <selection activeCell="D85" sqref="D85"/>
    </sheetView>
  </sheetViews>
  <sheetFormatPr defaultColWidth="9" defaultRowHeight="14.4" x14ac:dyDescent="0.25"/>
  <cols>
    <col min="1" max="1" width="9.109375" style="10"/>
    <col min="2" max="2" width="11.6640625" style="11" customWidth="1"/>
    <col min="3" max="3" width="12.5546875" style="12" customWidth="1"/>
    <col min="4" max="4" width="9.109375" style="13"/>
    <col min="5" max="5" width="10.6640625" style="14" customWidth="1"/>
    <col min="6" max="6" width="9.5546875" style="15" customWidth="1"/>
    <col min="7" max="7" width="11.44140625" style="16" customWidth="1"/>
    <col min="8" max="8" width="21.5546875" style="17" customWidth="1"/>
  </cols>
  <sheetData>
    <row r="1" spans="1:8" ht="15.6" x14ac:dyDescent="0.25">
      <c r="A1" s="18" t="s">
        <v>0</v>
      </c>
      <c r="B1" s="19" t="s">
        <v>1</v>
      </c>
      <c r="C1" s="20" t="s">
        <v>2</v>
      </c>
      <c r="D1" s="21" t="s">
        <v>3</v>
      </c>
      <c r="E1" s="22" t="s">
        <v>4</v>
      </c>
      <c r="F1" s="23" t="s">
        <v>5</v>
      </c>
      <c r="G1" s="24" t="s">
        <v>6</v>
      </c>
      <c r="H1" s="25" t="s">
        <v>7</v>
      </c>
    </row>
    <row r="2" spans="1:8" x14ac:dyDescent="0.25">
      <c r="A2" s="10">
        <v>1</v>
      </c>
      <c r="B2" s="11" t="s">
        <v>8</v>
      </c>
      <c r="C2" s="12" t="s">
        <v>9</v>
      </c>
      <c r="D2" s="13" t="s">
        <v>10</v>
      </c>
      <c r="E2" s="14">
        <v>62500</v>
      </c>
      <c r="F2" s="15">
        <v>9800</v>
      </c>
      <c r="G2" s="16">
        <v>2</v>
      </c>
      <c r="H2" s="17">
        <v>45323</v>
      </c>
    </row>
    <row r="3" spans="1:8" x14ac:dyDescent="0.25">
      <c r="A3" s="10">
        <v>2</v>
      </c>
      <c r="B3" s="11" t="s">
        <v>11</v>
      </c>
      <c r="C3" s="12" t="s">
        <v>9</v>
      </c>
      <c r="D3" s="13" t="s">
        <v>12</v>
      </c>
      <c r="E3" s="14">
        <v>61500</v>
      </c>
      <c r="F3" s="15">
        <v>9600</v>
      </c>
      <c r="G3" s="16">
        <v>3</v>
      </c>
      <c r="H3" s="17">
        <v>45413</v>
      </c>
    </row>
    <row r="4" spans="1:8" x14ac:dyDescent="0.25">
      <c r="A4" s="10">
        <v>3</v>
      </c>
      <c r="B4" s="11" t="s">
        <v>13</v>
      </c>
      <c r="C4" s="12" t="s">
        <v>9</v>
      </c>
      <c r="D4" s="13" t="s">
        <v>14</v>
      </c>
      <c r="E4" s="14">
        <v>60500</v>
      </c>
      <c r="F4" s="15">
        <v>9400</v>
      </c>
      <c r="G4" s="16">
        <v>2</v>
      </c>
      <c r="H4" s="17">
        <v>45444</v>
      </c>
    </row>
    <row r="5" spans="1:8" x14ac:dyDescent="0.25">
      <c r="A5" s="10">
        <v>4</v>
      </c>
      <c r="B5" s="11" t="s">
        <v>15</v>
      </c>
      <c r="C5" s="12" t="s">
        <v>16</v>
      </c>
      <c r="D5" s="13" t="s">
        <v>17</v>
      </c>
      <c r="E5" s="14">
        <v>59000</v>
      </c>
      <c r="F5" s="15">
        <v>9100</v>
      </c>
      <c r="G5" s="16">
        <v>5</v>
      </c>
      <c r="H5" s="17">
        <v>45474</v>
      </c>
    </row>
    <row r="6" spans="1:8" x14ac:dyDescent="0.25">
      <c r="A6" s="10">
        <v>5</v>
      </c>
      <c r="B6" s="11" t="s">
        <v>18</v>
      </c>
      <c r="C6" s="12" t="s">
        <v>16</v>
      </c>
      <c r="D6" s="13" t="s">
        <v>10</v>
      </c>
      <c r="E6" s="14">
        <v>58000</v>
      </c>
      <c r="F6" s="15">
        <v>9000</v>
      </c>
      <c r="G6" s="16">
        <v>4</v>
      </c>
      <c r="H6" s="17">
        <v>45505</v>
      </c>
    </row>
    <row r="7" spans="1:8" x14ac:dyDescent="0.25">
      <c r="A7" s="10">
        <v>6</v>
      </c>
      <c r="B7" s="11" t="s">
        <v>19</v>
      </c>
      <c r="C7" s="12" t="s">
        <v>16</v>
      </c>
      <c r="D7" s="13" t="s">
        <v>12</v>
      </c>
      <c r="E7" s="14">
        <v>57000</v>
      </c>
      <c r="F7" s="15">
        <v>8900</v>
      </c>
      <c r="G7" s="16">
        <v>5</v>
      </c>
      <c r="H7" s="17">
        <v>45566</v>
      </c>
    </row>
    <row r="8" spans="1:8" x14ac:dyDescent="0.25">
      <c r="A8" s="10">
        <v>7</v>
      </c>
      <c r="B8" s="11" t="s">
        <v>20</v>
      </c>
      <c r="C8" s="12" t="s">
        <v>9</v>
      </c>
      <c r="D8" s="13" t="s">
        <v>14</v>
      </c>
      <c r="E8" s="14">
        <v>56000</v>
      </c>
      <c r="F8" s="15">
        <v>8700</v>
      </c>
      <c r="G8" s="16">
        <v>2</v>
      </c>
      <c r="H8" s="17">
        <v>45597</v>
      </c>
    </row>
    <row r="9" spans="1:8" x14ac:dyDescent="0.25">
      <c r="A9" s="10">
        <v>8</v>
      </c>
      <c r="B9" s="11" t="s">
        <v>8</v>
      </c>
      <c r="C9" s="12" t="s">
        <v>9</v>
      </c>
      <c r="D9" s="13" t="s">
        <v>17</v>
      </c>
      <c r="E9" s="14">
        <v>55000</v>
      </c>
      <c r="F9" s="15">
        <v>8500</v>
      </c>
      <c r="G9" s="16">
        <v>2</v>
      </c>
      <c r="H9" s="17">
        <v>45627</v>
      </c>
    </row>
    <row r="10" spans="1:8" x14ac:dyDescent="0.25">
      <c r="A10" s="10">
        <v>9</v>
      </c>
      <c r="B10" s="11" t="s">
        <v>11</v>
      </c>
      <c r="C10" s="12" t="s">
        <v>9</v>
      </c>
      <c r="D10" s="13" t="s">
        <v>10</v>
      </c>
      <c r="E10" s="14">
        <v>54000</v>
      </c>
      <c r="F10" s="15">
        <v>8200</v>
      </c>
      <c r="G10" s="16">
        <v>3</v>
      </c>
      <c r="H10" s="17" t="s">
        <v>21</v>
      </c>
    </row>
    <row r="11" spans="1:8" x14ac:dyDescent="0.25">
      <c r="A11" s="10">
        <v>10</v>
      </c>
      <c r="B11" s="11" t="s">
        <v>13</v>
      </c>
      <c r="C11" s="12" t="s">
        <v>9</v>
      </c>
      <c r="D11" s="13" t="s">
        <v>12</v>
      </c>
      <c r="E11" s="14">
        <v>53000</v>
      </c>
      <c r="F11" s="15">
        <v>8100</v>
      </c>
      <c r="G11" s="16">
        <v>2</v>
      </c>
      <c r="H11" s="17" t="s">
        <v>22</v>
      </c>
    </row>
    <row r="12" spans="1:8" x14ac:dyDescent="0.25">
      <c r="A12" s="10">
        <v>11</v>
      </c>
      <c r="B12" s="11" t="s">
        <v>15</v>
      </c>
      <c r="C12" s="12" t="s">
        <v>16</v>
      </c>
      <c r="D12" s="13" t="s">
        <v>14</v>
      </c>
      <c r="E12" s="14">
        <v>52000</v>
      </c>
      <c r="F12" s="15">
        <v>8000</v>
      </c>
      <c r="G12" s="16">
        <v>6</v>
      </c>
      <c r="H12" s="17" t="s">
        <v>23</v>
      </c>
    </row>
    <row r="13" spans="1:8" x14ac:dyDescent="0.25">
      <c r="A13" s="10">
        <v>12</v>
      </c>
      <c r="B13" s="11" t="s">
        <v>18</v>
      </c>
      <c r="C13" s="12" t="s">
        <v>16</v>
      </c>
      <c r="D13" s="13" t="s">
        <v>17</v>
      </c>
      <c r="E13" s="14">
        <v>25800</v>
      </c>
      <c r="F13" s="15">
        <v>4200</v>
      </c>
      <c r="G13" s="16">
        <v>4</v>
      </c>
      <c r="H13" s="17" t="s">
        <v>24</v>
      </c>
    </row>
    <row r="14" spans="1:8" x14ac:dyDescent="0.25">
      <c r="A14" s="10">
        <v>13</v>
      </c>
      <c r="B14" s="11" t="s">
        <v>19</v>
      </c>
      <c r="C14" s="12" t="s">
        <v>16</v>
      </c>
      <c r="D14" s="13" t="s">
        <v>10</v>
      </c>
      <c r="E14" s="14">
        <v>25200</v>
      </c>
      <c r="F14" s="15">
        <v>4100</v>
      </c>
      <c r="G14" s="16">
        <v>5</v>
      </c>
      <c r="H14" s="17" t="s">
        <v>25</v>
      </c>
    </row>
    <row r="15" spans="1:8" x14ac:dyDescent="0.25">
      <c r="A15" s="10">
        <v>14</v>
      </c>
      <c r="B15" s="11" t="s">
        <v>20</v>
      </c>
      <c r="C15" s="12" t="s">
        <v>9</v>
      </c>
      <c r="D15" s="13" t="s">
        <v>12</v>
      </c>
      <c r="E15" s="14">
        <v>24800</v>
      </c>
      <c r="F15" s="15">
        <v>4000</v>
      </c>
      <c r="G15" s="16">
        <v>2</v>
      </c>
      <c r="H15" s="17" t="s">
        <v>26</v>
      </c>
    </row>
    <row r="16" spans="1:8" x14ac:dyDescent="0.25">
      <c r="A16" s="10">
        <v>15</v>
      </c>
      <c r="B16" s="11" t="s">
        <v>8</v>
      </c>
      <c r="C16" s="12" t="s">
        <v>9</v>
      </c>
      <c r="D16" s="13" t="s">
        <v>14</v>
      </c>
      <c r="E16" s="14">
        <v>23500</v>
      </c>
      <c r="F16" s="15">
        <v>3800</v>
      </c>
      <c r="G16" s="16">
        <v>2</v>
      </c>
      <c r="H16" s="17" t="s">
        <v>27</v>
      </c>
    </row>
    <row r="17" spans="1:14" x14ac:dyDescent="0.25">
      <c r="A17" s="10">
        <v>16</v>
      </c>
      <c r="B17" s="11" t="s">
        <v>11</v>
      </c>
      <c r="C17" s="12" t="s">
        <v>9</v>
      </c>
      <c r="D17" s="13" t="s">
        <v>17</v>
      </c>
      <c r="E17" s="14">
        <v>23000</v>
      </c>
      <c r="F17" s="15">
        <v>3700</v>
      </c>
      <c r="G17" s="16">
        <v>3</v>
      </c>
      <c r="H17" s="17" t="s">
        <v>28</v>
      </c>
      <c r="N17" s="26"/>
    </row>
    <row r="18" spans="1:14" x14ac:dyDescent="0.25">
      <c r="A18" s="10">
        <v>17</v>
      </c>
      <c r="B18" s="11" t="s">
        <v>13</v>
      </c>
      <c r="C18" s="12" t="s">
        <v>9</v>
      </c>
      <c r="D18" s="13" t="s">
        <v>10</v>
      </c>
      <c r="E18" s="14">
        <v>22500</v>
      </c>
      <c r="F18" s="15">
        <v>3600</v>
      </c>
      <c r="G18" s="16">
        <v>2</v>
      </c>
      <c r="H18" s="17" t="s">
        <v>29</v>
      </c>
    </row>
    <row r="19" spans="1:14" x14ac:dyDescent="0.25">
      <c r="A19" s="10">
        <v>18</v>
      </c>
      <c r="B19" s="11" t="s">
        <v>15</v>
      </c>
      <c r="C19" s="12" t="s">
        <v>16</v>
      </c>
      <c r="D19" s="13" t="s">
        <v>12</v>
      </c>
      <c r="E19" s="14">
        <v>22500</v>
      </c>
      <c r="F19" s="15">
        <v>3500</v>
      </c>
      <c r="G19" s="16">
        <v>5</v>
      </c>
      <c r="H19" s="17" t="s">
        <v>30</v>
      </c>
    </row>
    <row r="20" spans="1:14" x14ac:dyDescent="0.25">
      <c r="A20" s="10">
        <v>19</v>
      </c>
      <c r="B20" s="11" t="s">
        <v>18</v>
      </c>
      <c r="C20" s="12" t="s">
        <v>16</v>
      </c>
      <c r="D20" s="13" t="s">
        <v>14</v>
      </c>
      <c r="E20" s="14">
        <v>22000</v>
      </c>
      <c r="F20" s="15">
        <v>3500</v>
      </c>
      <c r="G20" s="16">
        <v>4</v>
      </c>
      <c r="H20" s="17" t="s">
        <v>31</v>
      </c>
    </row>
    <row r="21" spans="1:14" x14ac:dyDescent="0.25">
      <c r="A21" s="10">
        <v>20</v>
      </c>
      <c r="B21" s="11" t="s">
        <v>19</v>
      </c>
      <c r="C21" s="12" t="s">
        <v>16</v>
      </c>
      <c r="D21" s="13" t="s">
        <v>17</v>
      </c>
      <c r="E21" s="14">
        <v>21500</v>
      </c>
      <c r="F21" s="15">
        <v>3300</v>
      </c>
      <c r="G21" s="16">
        <v>5</v>
      </c>
      <c r="H21" s="17" t="s">
        <v>32</v>
      </c>
    </row>
    <row r="22" spans="1:14" x14ac:dyDescent="0.25">
      <c r="A22" s="10">
        <v>21</v>
      </c>
      <c r="B22" s="11" t="s">
        <v>20</v>
      </c>
      <c r="C22" s="12" t="s">
        <v>9</v>
      </c>
      <c r="D22" s="13" t="s">
        <v>10</v>
      </c>
      <c r="E22" s="14">
        <v>21000</v>
      </c>
      <c r="F22" s="15">
        <v>3200</v>
      </c>
      <c r="G22" s="16">
        <v>2</v>
      </c>
      <c r="H22" s="17">
        <v>45293</v>
      </c>
    </row>
    <row r="23" spans="1:14" x14ac:dyDescent="0.25">
      <c r="A23" s="10">
        <v>22</v>
      </c>
      <c r="B23" s="11" t="s">
        <v>8</v>
      </c>
      <c r="C23" s="12" t="s">
        <v>9</v>
      </c>
      <c r="D23" s="13" t="s">
        <v>12</v>
      </c>
      <c r="E23" s="14">
        <v>20800</v>
      </c>
      <c r="F23" s="15">
        <v>3050</v>
      </c>
      <c r="G23" s="16">
        <v>2</v>
      </c>
      <c r="H23" s="17">
        <v>45324</v>
      </c>
    </row>
    <row r="24" spans="1:14" x14ac:dyDescent="0.25">
      <c r="A24" s="10">
        <v>23</v>
      </c>
      <c r="B24" s="11" t="s">
        <v>11</v>
      </c>
      <c r="C24" s="12" t="s">
        <v>9</v>
      </c>
      <c r="D24" s="13" t="s">
        <v>14</v>
      </c>
      <c r="E24" s="14">
        <v>20200</v>
      </c>
      <c r="F24" s="15">
        <v>3050</v>
      </c>
      <c r="G24" s="16">
        <v>3</v>
      </c>
      <c r="H24" s="17">
        <v>45353</v>
      </c>
    </row>
    <row r="25" spans="1:14" x14ac:dyDescent="0.25">
      <c r="A25" s="10">
        <v>24</v>
      </c>
      <c r="B25" s="11" t="s">
        <v>13</v>
      </c>
      <c r="C25" s="12" t="s">
        <v>9</v>
      </c>
      <c r="D25" s="13" t="s">
        <v>17</v>
      </c>
      <c r="E25" s="14">
        <v>19800</v>
      </c>
      <c r="F25" s="15">
        <v>3000</v>
      </c>
      <c r="G25" s="16">
        <v>2</v>
      </c>
      <c r="H25" s="17">
        <v>45384</v>
      </c>
    </row>
    <row r="26" spans="1:14" x14ac:dyDescent="0.25">
      <c r="A26" s="10">
        <v>25</v>
      </c>
      <c r="B26" s="11" t="s">
        <v>15</v>
      </c>
      <c r="C26" s="12" t="s">
        <v>16</v>
      </c>
      <c r="D26" s="13" t="s">
        <v>10</v>
      </c>
      <c r="E26" s="14">
        <v>19000</v>
      </c>
      <c r="F26" s="15">
        <v>2950</v>
      </c>
      <c r="G26" s="16">
        <v>5</v>
      </c>
      <c r="H26" s="17">
        <v>45414</v>
      </c>
    </row>
    <row r="27" spans="1:14" x14ac:dyDescent="0.25">
      <c r="A27" s="10">
        <v>26</v>
      </c>
      <c r="B27" s="11" t="s">
        <v>18</v>
      </c>
      <c r="C27" s="12" t="s">
        <v>16</v>
      </c>
      <c r="D27" s="13" t="s">
        <v>12</v>
      </c>
      <c r="E27" s="14">
        <v>18500</v>
      </c>
      <c r="F27" s="15">
        <v>2850</v>
      </c>
      <c r="G27" s="16">
        <v>4</v>
      </c>
      <c r="H27" s="17">
        <v>45445</v>
      </c>
    </row>
    <row r="28" spans="1:14" x14ac:dyDescent="0.25">
      <c r="A28" s="10">
        <v>27</v>
      </c>
      <c r="B28" s="11" t="s">
        <v>19</v>
      </c>
      <c r="C28" s="12" t="s">
        <v>16</v>
      </c>
      <c r="D28" s="13" t="s">
        <v>14</v>
      </c>
      <c r="E28" s="14">
        <v>18200</v>
      </c>
      <c r="F28" s="15">
        <v>2800</v>
      </c>
      <c r="G28" s="16">
        <v>5</v>
      </c>
      <c r="H28" s="17">
        <v>45475</v>
      </c>
    </row>
    <row r="29" spans="1:14" x14ac:dyDescent="0.25">
      <c r="A29" s="10">
        <v>28</v>
      </c>
      <c r="B29" s="11" t="s">
        <v>20</v>
      </c>
      <c r="C29" s="12" t="s">
        <v>9</v>
      </c>
      <c r="D29" s="13" t="s">
        <v>17</v>
      </c>
      <c r="E29" s="14">
        <v>18000</v>
      </c>
      <c r="F29" s="15">
        <v>2700</v>
      </c>
      <c r="G29" s="16">
        <v>2</v>
      </c>
      <c r="H29" s="17">
        <v>45506</v>
      </c>
    </row>
    <row r="30" spans="1:14" x14ac:dyDescent="0.25">
      <c r="A30" s="10">
        <v>29</v>
      </c>
      <c r="B30" s="11" t="s">
        <v>8</v>
      </c>
      <c r="C30" s="12" t="s">
        <v>9</v>
      </c>
      <c r="D30" s="13" t="s">
        <v>10</v>
      </c>
      <c r="E30" s="14">
        <v>17900</v>
      </c>
      <c r="F30" s="15">
        <v>2700</v>
      </c>
      <c r="G30" s="16">
        <v>2</v>
      </c>
      <c r="H30" s="17">
        <v>45537</v>
      </c>
    </row>
    <row r="31" spans="1:14" x14ac:dyDescent="0.25">
      <c r="A31" s="10">
        <v>30</v>
      </c>
      <c r="B31" s="11" t="s">
        <v>11</v>
      </c>
      <c r="C31" s="12" t="s">
        <v>9</v>
      </c>
      <c r="D31" s="13" t="s">
        <v>12</v>
      </c>
      <c r="E31" s="14">
        <v>17800</v>
      </c>
      <c r="F31" s="15">
        <v>2700</v>
      </c>
      <c r="G31" s="16">
        <v>3</v>
      </c>
      <c r="H31" s="17">
        <v>45567</v>
      </c>
    </row>
    <row r="32" spans="1:14" x14ac:dyDescent="0.25">
      <c r="A32" s="10">
        <v>31</v>
      </c>
      <c r="B32" s="11" t="s">
        <v>13</v>
      </c>
      <c r="C32" s="12" t="s">
        <v>9</v>
      </c>
      <c r="D32" s="13" t="s">
        <v>14</v>
      </c>
      <c r="E32" s="14">
        <v>17600</v>
      </c>
      <c r="F32" s="15">
        <v>2600</v>
      </c>
      <c r="G32" s="16">
        <v>2</v>
      </c>
      <c r="H32" s="17">
        <v>45598</v>
      </c>
    </row>
    <row r="33" spans="1:8" x14ac:dyDescent="0.25">
      <c r="A33" s="10">
        <v>32</v>
      </c>
      <c r="B33" s="11" t="s">
        <v>15</v>
      </c>
      <c r="C33" s="12" t="s">
        <v>16</v>
      </c>
      <c r="D33" s="13" t="s">
        <v>17</v>
      </c>
      <c r="E33" s="14">
        <v>17500</v>
      </c>
      <c r="F33" s="15">
        <v>2600</v>
      </c>
      <c r="G33" s="16">
        <v>5</v>
      </c>
      <c r="H33" s="17">
        <v>45628</v>
      </c>
    </row>
    <row r="34" spans="1:8" x14ac:dyDescent="0.25">
      <c r="A34" s="10">
        <v>33</v>
      </c>
      <c r="B34" s="11" t="s">
        <v>18</v>
      </c>
      <c r="C34" s="12" t="s">
        <v>16</v>
      </c>
      <c r="D34" s="13" t="s">
        <v>10</v>
      </c>
      <c r="E34" s="14">
        <v>17000</v>
      </c>
      <c r="F34" s="15">
        <v>2600</v>
      </c>
      <c r="G34" s="16">
        <v>4</v>
      </c>
      <c r="H34" s="17" t="s">
        <v>33</v>
      </c>
    </row>
    <row r="35" spans="1:8" x14ac:dyDescent="0.25">
      <c r="A35" s="10">
        <v>34</v>
      </c>
      <c r="B35" s="11" t="s">
        <v>19</v>
      </c>
      <c r="C35" s="12" t="s">
        <v>16</v>
      </c>
      <c r="D35" s="13" t="s">
        <v>12</v>
      </c>
      <c r="E35" s="14">
        <v>16500</v>
      </c>
      <c r="F35" s="15">
        <v>2550</v>
      </c>
      <c r="G35" s="16">
        <v>5</v>
      </c>
      <c r="H35" s="17" t="s">
        <v>34</v>
      </c>
    </row>
    <row r="36" spans="1:8" x14ac:dyDescent="0.25">
      <c r="A36" s="10">
        <v>35</v>
      </c>
      <c r="B36" s="11" t="s">
        <v>20</v>
      </c>
      <c r="C36" s="12" t="s">
        <v>9</v>
      </c>
      <c r="D36" s="13" t="s">
        <v>14</v>
      </c>
      <c r="E36" s="14">
        <v>16200</v>
      </c>
      <c r="F36" s="15">
        <v>2500</v>
      </c>
      <c r="G36" s="16">
        <v>2</v>
      </c>
      <c r="H36" s="17" t="s">
        <v>35</v>
      </c>
    </row>
    <row r="37" spans="1:8" x14ac:dyDescent="0.25">
      <c r="A37" s="10">
        <v>36</v>
      </c>
      <c r="B37" s="11" t="s">
        <v>8</v>
      </c>
      <c r="C37" s="12" t="s">
        <v>9</v>
      </c>
      <c r="D37" s="13" t="s">
        <v>17</v>
      </c>
      <c r="E37" s="14">
        <v>16000</v>
      </c>
      <c r="F37" s="15">
        <v>2500</v>
      </c>
      <c r="G37" s="16">
        <v>2</v>
      </c>
      <c r="H37" s="17" t="s">
        <v>36</v>
      </c>
    </row>
    <row r="38" spans="1:8" x14ac:dyDescent="0.25">
      <c r="A38" s="10">
        <v>37</v>
      </c>
      <c r="B38" s="11" t="s">
        <v>11</v>
      </c>
      <c r="C38" s="12" t="s">
        <v>9</v>
      </c>
      <c r="D38" s="13" t="s">
        <v>10</v>
      </c>
      <c r="E38" s="14">
        <v>15800</v>
      </c>
      <c r="F38" s="15">
        <v>2500</v>
      </c>
      <c r="G38" s="16">
        <v>3</v>
      </c>
      <c r="H38" s="17" t="s">
        <v>37</v>
      </c>
    </row>
    <row r="39" spans="1:8" x14ac:dyDescent="0.25">
      <c r="A39" s="10">
        <v>38</v>
      </c>
      <c r="B39" s="11" t="s">
        <v>13</v>
      </c>
      <c r="C39" s="12" t="s">
        <v>9</v>
      </c>
      <c r="D39" s="13" t="s">
        <v>12</v>
      </c>
      <c r="E39" s="14">
        <v>15500</v>
      </c>
      <c r="F39" s="15">
        <v>2450</v>
      </c>
      <c r="G39" s="16">
        <v>2</v>
      </c>
      <c r="H39" s="17" t="s">
        <v>38</v>
      </c>
    </row>
    <row r="40" spans="1:8" x14ac:dyDescent="0.25">
      <c r="A40" s="10">
        <v>39</v>
      </c>
      <c r="B40" s="11" t="s">
        <v>15</v>
      </c>
      <c r="C40" s="12" t="s">
        <v>16</v>
      </c>
      <c r="D40" s="13" t="s">
        <v>14</v>
      </c>
      <c r="E40" s="14">
        <v>15200</v>
      </c>
      <c r="F40" s="15">
        <v>2400</v>
      </c>
      <c r="G40" s="16">
        <v>5</v>
      </c>
      <c r="H40" s="17" t="s">
        <v>39</v>
      </c>
    </row>
    <row r="41" spans="1:8" x14ac:dyDescent="0.25">
      <c r="A41" s="10">
        <v>40</v>
      </c>
      <c r="B41" s="11" t="s">
        <v>18</v>
      </c>
      <c r="C41" s="12" t="s">
        <v>16</v>
      </c>
      <c r="D41" s="13" t="s">
        <v>17</v>
      </c>
      <c r="E41" s="14">
        <v>15000</v>
      </c>
      <c r="F41" s="15">
        <v>2300</v>
      </c>
      <c r="G41" s="16">
        <v>4</v>
      </c>
      <c r="H41" s="17" t="s">
        <v>40</v>
      </c>
    </row>
    <row r="42" spans="1:8" x14ac:dyDescent="0.25">
      <c r="A42" s="10">
        <v>41</v>
      </c>
      <c r="B42" s="11" t="s">
        <v>19</v>
      </c>
      <c r="C42" s="12" t="s">
        <v>16</v>
      </c>
      <c r="D42" s="13" t="s">
        <v>10</v>
      </c>
      <c r="E42" s="14">
        <v>7350</v>
      </c>
      <c r="F42" s="15">
        <v>1520</v>
      </c>
      <c r="G42" s="16">
        <v>5</v>
      </c>
      <c r="H42" s="17" t="s">
        <v>41</v>
      </c>
    </row>
    <row r="43" spans="1:8" x14ac:dyDescent="0.25">
      <c r="A43" s="10">
        <v>42</v>
      </c>
      <c r="B43" s="11" t="s">
        <v>20</v>
      </c>
      <c r="C43" s="12" t="s">
        <v>9</v>
      </c>
      <c r="D43" s="13" t="s">
        <v>12</v>
      </c>
      <c r="E43" s="14">
        <v>7200</v>
      </c>
      <c r="F43" s="15">
        <v>1500</v>
      </c>
      <c r="G43" s="16">
        <v>2</v>
      </c>
      <c r="H43" s="17" t="s">
        <v>42</v>
      </c>
    </row>
    <row r="44" spans="1:8" x14ac:dyDescent="0.25">
      <c r="A44" s="10">
        <v>43</v>
      </c>
      <c r="B44" s="11" t="s">
        <v>8</v>
      </c>
      <c r="C44" s="12" t="s">
        <v>9</v>
      </c>
      <c r="D44" s="13" t="s">
        <v>14</v>
      </c>
      <c r="E44" s="14">
        <v>7050</v>
      </c>
      <c r="F44" s="15">
        <v>1420</v>
      </c>
      <c r="G44" s="16">
        <v>2</v>
      </c>
      <c r="H44" s="17" t="s">
        <v>43</v>
      </c>
    </row>
    <row r="45" spans="1:8" x14ac:dyDescent="0.25">
      <c r="A45" s="10">
        <v>44</v>
      </c>
      <c r="B45" s="11" t="s">
        <v>11</v>
      </c>
      <c r="C45" s="12" t="s">
        <v>9</v>
      </c>
      <c r="D45" s="13" t="s">
        <v>17</v>
      </c>
      <c r="E45" s="14">
        <v>6500</v>
      </c>
      <c r="F45" s="15">
        <v>1300</v>
      </c>
      <c r="G45" s="16">
        <v>3</v>
      </c>
      <c r="H45" s="17" t="s">
        <v>44</v>
      </c>
    </row>
    <row r="46" spans="1:8" x14ac:dyDescent="0.25">
      <c r="A46" s="10">
        <v>45</v>
      </c>
      <c r="B46" s="11" t="s">
        <v>13</v>
      </c>
      <c r="C46" s="12" t="s">
        <v>9</v>
      </c>
      <c r="D46" s="13" t="s">
        <v>10</v>
      </c>
      <c r="E46" s="14">
        <v>6500</v>
      </c>
      <c r="F46" s="15">
        <v>1300</v>
      </c>
      <c r="G46" s="16">
        <v>2</v>
      </c>
      <c r="H46" s="17" t="s">
        <v>45</v>
      </c>
    </row>
    <row r="47" spans="1:8" x14ac:dyDescent="0.25">
      <c r="A47" s="10">
        <v>46</v>
      </c>
      <c r="B47" s="11" t="s">
        <v>15</v>
      </c>
      <c r="C47" s="12" t="s">
        <v>16</v>
      </c>
      <c r="D47" s="13" t="s">
        <v>12</v>
      </c>
      <c r="E47" s="14">
        <v>6400</v>
      </c>
      <c r="F47" s="15">
        <v>1280</v>
      </c>
      <c r="G47" s="16">
        <v>5</v>
      </c>
      <c r="H47" s="17" t="s">
        <v>46</v>
      </c>
    </row>
    <row r="48" spans="1:8" x14ac:dyDescent="0.25">
      <c r="A48" s="10">
        <v>47</v>
      </c>
      <c r="B48" s="11" t="s">
        <v>18</v>
      </c>
      <c r="C48" s="12" t="s">
        <v>16</v>
      </c>
      <c r="D48" s="13" t="s">
        <v>14</v>
      </c>
      <c r="E48" s="14">
        <v>6300</v>
      </c>
      <c r="F48" s="15">
        <v>1260</v>
      </c>
      <c r="G48" s="16">
        <v>4</v>
      </c>
      <c r="H48" s="17" t="s">
        <v>47</v>
      </c>
    </row>
    <row r="49" spans="1:8" x14ac:dyDescent="0.25">
      <c r="A49" s="10">
        <v>48</v>
      </c>
      <c r="B49" s="11" t="s">
        <v>19</v>
      </c>
      <c r="C49" s="12" t="s">
        <v>16</v>
      </c>
      <c r="D49" s="13" t="s">
        <v>17</v>
      </c>
      <c r="E49" s="14">
        <v>6200</v>
      </c>
      <c r="F49" s="15">
        <v>1250</v>
      </c>
      <c r="G49" s="16">
        <v>5</v>
      </c>
      <c r="H49" s="17" t="s">
        <v>48</v>
      </c>
    </row>
    <row r="50" spans="1:8" x14ac:dyDescent="0.25">
      <c r="A50" s="10">
        <v>49</v>
      </c>
      <c r="B50" s="11" t="s">
        <v>20</v>
      </c>
      <c r="C50" s="12" t="s">
        <v>9</v>
      </c>
      <c r="D50" s="13" t="s">
        <v>10</v>
      </c>
      <c r="E50" s="14">
        <v>6100</v>
      </c>
      <c r="F50" s="15">
        <v>1200</v>
      </c>
      <c r="G50" s="16">
        <v>2</v>
      </c>
      <c r="H50" s="17">
        <v>45294</v>
      </c>
    </row>
    <row r="51" spans="1:8" x14ac:dyDescent="0.25">
      <c r="A51" s="10">
        <v>50</v>
      </c>
      <c r="B51" s="11" t="s">
        <v>8</v>
      </c>
      <c r="C51" s="12" t="s">
        <v>9</v>
      </c>
      <c r="D51" s="13" t="s">
        <v>12</v>
      </c>
      <c r="E51" s="14">
        <v>6000</v>
      </c>
      <c r="F51" s="15">
        <v>1200</v>
      </c>
      <c r="G51" s="16">
        <v>2</v>
      </c>
      <c r="H51" s="17">
        <v>45325</v>
      </c>
    </row>
    <row r="52" spans="1:8" x14ac:dyDescent="0.25">
      <c r="A52" s="10">
        <v>51</v>
      </c>
      <c r="B52" s="11" t="s">
        <v>8</v>
      </c>
      <c r="C52" s="12" t="s">
        <v>9</v>
      </c>
      <c r="D52" s="13" t="s">
        <v>10</v>
      </c>
      <c r="E52" s="14">
        <v>3750</v>
      </c>
      <c r="F52" s="15">
        <v>880</v>
      </c>
      <c r="G52" s="16">
        <v>2</v>
      </c>
      <c r="H52" s="17">
        <v>45354</v>
      </c>
    </row>
    <row r="53" spans="1:8" x14ac:dyDescent="0.25">
      <c r="A53" s="10">
        <v>52</v>
      </c>
      <c r="B53" s="11" t="s">
        <v>11</v>
      </c>
      <c r="C53" s="12" t="s">
        <v>9</v>
      </c>
      <c r="D53" s="13" t="s">
        <v>12</v>
      </c>
      <c r="E53" s="14">
        <v>3650</v>
      </c>
      <c r="F53" s="15">
        <v>860</v>
      </c>
      <c r="G53" s="16">
        <v>3</v>
      </c>
      <c r="H53" s="17">
        <v>45385</v>
      </c>
    </row>
    <row r="54" spans="1:8" x14ac:dyDescent="0.25">
      <c r="A54" s="10">
        <v>53</v>
      </c>
      <c r="B54" s="11" t="s">
        <v>13</v>
      </c>
      <c r="C54" s="12" t="s">
        <v>9</v>
      </c>
      <c r="D54" s="13" t="s">
        <v>14</v>
      </c>
      <c r="E54" s="14">
        <v>3550</v>
      </c>
      <c r="F54" s="15">
        <v>830</v>
      </c>
      <c r="G54" s="16">
        <v>2</v>
      </c>
      <c r="H54" s="17">
        <v>45415</v>
      </c>
    </row>
    <row r="55" spans="1:8" x14ac:dyDescent="0.25">
      <c r="A55" s="10">
        <v>54</v>
      </c>
      <c r="B55" s="11" t="s">
        <v>15</v>
      </c>
      <c r="C55" s="12" t="s">
        <v>16</v>
      </c>
      <c r="D55" s="13" t="s">
        <v>17</v>
      </c>
      <c r="E55" s="14">
        <v>3300</v>
      </c>
      <c r="F55" s="15">
        <v>780</v>
      </c>
      <c r="G55" s="16">
        <v>5</v>
      </c>
      <c r="H55" s="17">
        <v>45446</v>
      </c>
    </row>
    <row r="56" spans="1:8" x14ac:dyDescent="0.25">
      <c r="A56" s="10">
        <v>55</v>
      </c>
      <c r="B56" s="11" t="s">
        <v>18</v>
      </c>
      <c r="C56" s="12" t="s">
        <v>16</v>
      </c>
      <c r="D56" s="13" t="s">
        <v>10</v>
      </c>
      <c r="E56" s="14">
        <v>3250</v>
      </c>
      <c r="F56" s="15">
        <v>760</v>
      </c>
      <c r="G56" s="16">
        <v>4</v>
      </c>
      <c r="H56" s="17">
        <v>45476</v>
      </c>
    </row>
    <row r="57" spans="1:8" x14ac:dyDescent="0.25">
      <c r="A57" s="10">
        <v>56</v>
      </c>
      <c r="B57" s="11" t="s">
        <v>19</v>
      </c>
      <c r="C57" s="12" t="s">
        <v>16</v>
      </c>
      <c r="D57" s="13" t="s">
        <v>12</v>
      </c>
      <c r="E57" s="14">
        <v>3200</v>
      </c>
      <c r="F57" s="15">
        <v>750</v>
      </c>
      <c r="G57" s="16">
        <v>5</v>
      </c>
      <c r="H57" s="17">
        <v>45507</v>
      </c>
    </row>
    <row r="58" spans="1:8" x14ac:dyDescent="0.25">
      <c r="A58" s="10">
        <v>57</v>
      </c>
      <c r="B58" s="11" t="s">
        <v>20</v>
      </c>
      <c r="C58" s="12" t="s">
        <v>9</v>
      </c>
      <c r="D58" s="13" t="s">
        <v>14</v>
      </c>
      <c r="E58" s="14">
        <v>3150</v>
      </c>
      <c r="F58" s="15">
        <v>740</v>
      </c>
      <c r="G58" s="16">
        <v>2</v>
      </c>
      <c r="H58" s="17">
        <v>45538</v>
      </c>
    </row>
    <row r="59" spans="1:8" x14ac:dyDescent="0.25">
      <c r="A59" s="10">
        <v>58</v>
      </c>
      <c r="B59" s="11" t="s">
        <v>8</v>
      </c>
      <c r="C59" s="12" t="s">
        <v>9</v>
      </c>
      <c r="D59" s="13" t="s">
        <v>17</v>
      </c>
      <c r="E59" s="14">
        <v>3100</v>
      </c>
      <c r="F59" s="15">
        <v>720</v>
      </c>
      <c r="G59" s="16">
        <v>2</v>
      </c>
      <c r="H59" s="17">
        <v>45568</v>
      </c>
    </row>
    <row r="60" spans="1:8" x14ac:dyDescent="0.25">
      <c r="A60" s="10">
        <v>59</v>
      </c>
      <c r="B60" s="11" t="s">
        <v>11</v>
      </c>
      <c r="C60" s="12" t="s">
        <v>9</v>
      </c>
      <c r="D60" s="13" t="s">
        <v>10</v>
      </c>
      <c r="E60" s="14">
        <v>3050</v>
      </c>
      <c r="F60" s="15">
        <v>710</v>
      </c>
      <c r="G60" s="16">
        <v>3</v>
      </c>
      <c r="H60" s="17">
        <v>45599</v>
      </c>
    </row>
    <row r="61" spans="1:8" x14ac:dyDescent="0.25">
      <c r="A61" s="10">
        <v>60</v>
      </c>
      <c r="B61" s="11" t="s">
        <v>13</v>
      </c>
      <c r="C61" s="12" t="s">
        <v>9</v>
      </c>
      <c r="D61" s="13" t="s">
        <v>12</v>
      </c>
      <c r="E61" s="14">
        <v>3000</v>
      </c>
      <c r="F61" s="15">
        <v>700</v>
      </c>
      <c r="G61" s="16">
        <v>2</v>
      </c>
      <c r="H61" s="17">
        <v>45629</v>
      </c>
    </row>
    <row r="62" spans="1:8" x14ac:dyDescent="0.25">
      <c r="A62" s="10">
        <v>61</v>
      </c>
      <c r="B62" s="11" t="s">
        <v>15</v>
      </c>
      <c r="C62" s="12" t="s">
        <v>16</v>
      </c>
      <c r="D62" s="13" t="s">
        <v>14</v>
      </c>
      <c r="E62" s="14">
        <v>2500</v>
      </c>
      <c r="F62" s="15">
        <v>500</v>
      </c>
      <c r="G62" s="16">
        <v>5</v>
      </c>
      <c r="H62" s="17" t="s">
        <v>49</v>
      </c>
    </row>
    <row r="63" spans="1:8" x14ac:dyDescent="0.25">
      <c r="A63" s="10">
        <v>62</v>
      </c>
      <c r="B63" s="11" t="s">
        <v>18</v>
      </c>
      <c r="C63" s="12" t="s">
        <v>16</v>
      </c>
      <c r="D63" s="13" t="s">
        <v>17</v>
      </c>
      <c r="E63" s="14">
        <v>2400</v>
      </c>
      <c r="F63" s="15">
        <v>480</v>
      </c>
      <c r="G63" s="16">
        <v>4</v>
      </c>
      <c r="H63" s="17" t="s">
        <v>50</v>
      </c>
    </row>
    <row r="64" spans="1:8" x14ac:dyDescent="0.25">
      <c r="A64" s="10">
        <v>63</v>
      </c>
      <c r="B64" s="11" t="s">
        <v>19</v>
      </c>
      <c r="C64" s="12" t="s">
        <v>16</v>
      </c>
      <c r="D64" s="13" t="s">
        <v>10</v>
      </c>
      <c r="E64" s="14">
        <v>2300</v>
      </c>
      <c r="F64" s="15">
        <v>460</v>
      </c>
      <c r="G64" s="16">
        <v>5</v>
      </c>
      <c r="H64" s="17" t="s">
        <v>51</v>
      </c>
    </row>
    <row r="65" spans="1:8" x14ac:dyDescent="0.25">
      <c r="A65" s="10">
        <v>64</v>
      </c>
      <c r="B65" s="11" t="s">
        <v>20</v>
      </c>
      <c r="C65" s="12" t="s">
        <v>9</v>
      </c>
      <c r="D65" s="13" t="s">
        <v>12</v>
      </c>
      <c r="E65" s="14">
        <v>2150</v>
      </c>
      <c r="F65" s="15">
        <v>430</v>
      </c>
      <c r="G65" s="16">
        <v>2</v>
      </c>
      <c r="H65" s="17" t="s">
        <v>52</v>
      </c>
    </row>
    <row r="66" spans="1:8" x14ac:dyDescent="0.25">
      <c r="A66" s="10">
        <v>65</v>
      </c>
      <c r="B66" s="11" t="s">
        <v>8</v>
      </c>
      <c r="C66" s="12" t="s">
        <v>9</v>
      </c>
      <c r="D66" s="13" t="s">
        <v>14</v>
      </c>
      <c r="E66" s="14">
        <v>2100</v>
      </c>
      <c r="F66" s="15">
        <v>420</v>
      </c>
      <c r="G66" s="16">
        <v>2</v>
      </c>
      <c r="H66" s="17" t="s">
        <v>53</v>
      </c>
    </row>
    <row r="67" spans="1:8" x14ac:dyDescent="0.25">
      <c r="A67" s="10">
        <v>66</v>
      </c>
      <c r="B67" s="11" t="s">
        <v>11</v>
      </c>
      <c r="C67" s="12" t="s">
        <v>9</v>
      </c>
      <c r="D67" s="13" t="s">
        <v>17</v>
      </c>
      <c r="E67" s="14">
        <v>2100</v>
      </c>
      <c r="F67" s="15">
        <v>420</v>
      </c>
      <c r="G67" s="16">
        <v>3</v>
      </c>
      <c r="H67" s="17" t="s">
        <v>54</v>
      </c>
    </row>
    <row r="68" spans="1:8" x14ac:dyDescent="0.25">
      <c r="A68" s="10">
        <v>67</v>
      </c>
      <c r="B68" s="11" t="s">
        <v>13</v>
      </c>
      <c r="C68" s="12" t="s">
        <v>9</v>
      </c>
      <c r="D68" s="13" t="s">
        <v>10</v>
      </c>
      <c r="E68" s="14">
        <v>2050</v>
      </c>
      <c r="F68" s="15">
        <v>410</v>
      </c>
      <c r="G68" s="16">
        <v>2</v>
      </c>
      <c r="H68" s="17" t="s">
        <v>55</v>
      </c>
    </row>
    <row r="69" spans="1:8" x14ac:dyDescent="0.25">
      <c r="A69" s="10">
        <v>68</v>
      </c>
      <c r="B69" s="11" t="s">
        <v>15</v>
      </c>
      <c r="C69" s="12" t="s">
        <v>16</v>
      </c>
      <c r="D69" s="13" t="s">
        <v>12</v>
      </c>
      <c r="E69" s="14">
        <v>2050</v>
      </c>
      <c r="F69" s="15">
        <v>410</v>
      </c>
      <c r="G69" s="16">
        <v>5</v>
      </c>
      <c r="H69" s="17" t="s">
        <v>56</v>
      </c>
    </row>
    <row r="70" spans="1:8" x14ac:dyDescent="0.25">
      <c r="A70" s="10">
        <v>69</v>
      </c>
      <c r="B70" s="11" t="s">
        <v>18</v>
      </c>
      <c r="C70" s="12" t="s">
        <v>16</v>
      </c>
      <c r="D70" s="13" t="s">
        <v>14</v>
      </c>
      <c r="E70" s="14">
        <v>2000</v>
      </c>
      <c r="F70" s="15">
        <v>400</v>
      </c>
      <c r="G70" s="16">
        <v>4</v>
      </c>
      <c r="H70" s="17" t="s">
        <v>57</v>
      </c>
    </row>
    <row r="71" spans="1:8" x14ac:dyDescent="0.25">
      <c r="A71" s="10">
        <v>70</v>
      </c>
      <c r="B71" s="11" t="s">
        <v>19</v>
      </c>
      <c r="C71" s="12" t="s">
        <v>16</v>
      </c>
      <c r="D71" s="13" t="s">
        <v>17</v>
      </c>
      <c r="E71" s="14">
        <v>1950</v>
      </c>
      <c r="F71" s="15">
        <v>390</v>
      </c>
      <c r="G71" s="16">
        <v>5</v>
      </c>
      <c r="H71" s="17" t="s">
        <v>58</v>
      </c>
    </row>
  </sheetData>
  <autoFilter ref="A1:H71" xr:uid="{00000000-0009-0000-0000-000000000000}"/>
  <sortState xmlns:xlrd2="http://schemas.microsoft.com/office/spreadsheetml/2017/richdata2" ref="E2:E1048576">
    <sortCondition descending="1" ref="E2:E104857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workbookViewId="0">
      <selection activeCell="A14" sqref="A14"/>
    </sheetView>
  </sheetViews>
  <sheetFormatPr defaultColWidth="9" defaultRowHeight="14.4" x14ac:dyDescent="0.25"/>
  <cols>
    <col min="1" max="1" width="20.44140625" style="6" customWidth="1"/>
    <col min="3" max="3" width="14.109375" style="6" customWidth="1"/>
  </cols>
  <sheetData>
    <row r="1" spans="1:3" ht="15.6" x14ac:dyDescent="0.25">
      <c r="A1" s="7" t="s">
        <v>59</v>
      </c>
      <c r="C1" s="7" t="s">
        <v>60</v>
      </c>
    </row>
    <row r="2" spans="1:3" x14ac:dyDescent="0.25">
      <c r="A2" s="6" t="s">
        <v>61</v>
      </c>
      <c r="C2" s="8">
        <f>SUM('Raw Data'!E:E)</f>
        <v>1313000</v>
      </c>
    </row>
    <row r="3" spans="1:3" x14ac:dyDescent="0.25">
      <c r="A3" s="6" t="s">
        <v>62</v>
      </c>
      <c r="C3" s="8">
        <f>SUM('Raw Data'!F:F)</f>
        <v>210280</v>
      </c>
    </row>
    <row r="4" spans="1:3" x14ac:dyDescent="0.25">
      <c r="A4" s="6" t="s">
        <v>63</v>
      </c>
      <c r="C4" s="9">
        <f>AVERAGE('Raw Data'!E:E)</f>
        <v>18757.142857142899</v>
      </c>
    </row>
    <row r="5" spans="1:3" x14ac:dyDescent="0.25">
      <c r="A5" s="6" t="s">
        <v>64</v>
      </c>
      <c r="C5" s="6">
        <f>COUNT('Raw Data'!A:A)</f>
        <v>70</v>
      </c>
    </row>
    <row r="8" spans="1:3" ht="15.6" x14ac:dyDescent="0.25">
      <c r="A8" s="7" t="s">
        <v>65</v>
      </c>
    </row>
    <row r="9" spans="1:3" x14ac:dyDescent="0.25">
      <c r="C9"/>
    </row>
    <row r="10" spans="1:3" x14ac:dyDescent="0.25">
      <c r="A10" s="6" t="s">
        <v>66</v>
      </c>
      <c r="C10" s="8">
        <f>MAX('Raw Data'!E:E)</f>
        <v>62500</v>
      </c>
    </row>
    <row r="11" spans="1:3" x14ac:dyDescent="0.25">
      <c r="A11" s="6" t="s">
        <v>67</v>
      </c>
      <c r="C11" s="8">
        <f>MIN('Raw Data'!E:E)</f>
        <v>1950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B25"/>
  <sheetViews>
    <sheetView showGridLines="0" topLeftCell="A2" workbookViewId="0">
      <selection activeCell="M9" sqref="M9"/>
    </sheetView>
  </sheetViews>
  <sheetFormatPr defaultColWidth="9" defaultRowHeight="14.4" x14ac:dyDescent="0.25"/>
  <cols>
    <col min="1" max="2" width="13.33203125" bestFit="1" customWidth="1"/>
  </cols>
  <sheetData>
    <row r="3" spans="1:2" x14ac:dyDescent="0.25">
      <c r="A3" s="29" t="s">
        <v>3</v>
      </c>
      <c r="B3" t="s">
        <v>68</v>
      </c>
    </row>
    <row r="4" spans="1:2" x14ac:dyDescent="0.25">
      <c r="A4" t="s">
        <v>12</v>
      </c>
      <c r="B4" s="5">
        <v>34150</v>
      </c>
    </row>
    <row r="5" spans="1:2" x14ac:dyDescent="0.25">
      <c r="A5" t="s">
        <v>69</v>
      </c>
      <c r="B5" s="5">
        <v>34150</v>
      </c>
    </row>
    <row r="11" spans="1:2" x14ac:dyDescent="0.25">
      <c r="A11" s="29" t="s">
        <v>2</v>
      </c>
      <c r="B11" t="s">
        <v>70</v>
      </c>
    </row>
    <row r="12" spans="1:2" x14ac:dyDescent="0.25">
      <c r="A12" t="s">
        <v>16</v>
      </c>
      <c r="B12" s="5">
        <v>126150</v>
      </c>
    </row>
    <row r="13" spans="1:2" x14ac:dyDescent="0.25">
      <c r="A13" t="s">
        <v>9</v>
      </c>
      <c r="B13" s="5">
        <v>215400</v>
      </c>
    </row>
    <row r="14" spans="1:2" x14ac:dyDescent="0.25">
      <c r="A14" t="s">
        <v>69</v>
      </c>
      <c r="B14" s="5">
        <v>341550</v>
      </c>
    </row>
    <row r="17" spans="1:2" x14ac:dyDescent="0.25">
      <c r="A17" s="29" t="s">
        <v>1</v>
      </c>
      <c r="B17" t="s">
        <v>70</v>
      </c>
    </row>
    <row r="18" spans="1:2" x14ac:dyDescent="0.25">
      <c r="A18" t="s">
        <v>15</v>
      </c>
      <c r="B18" s="5">
        <v>30950</v>
      </c>
    </row>
    <row r="19" spans="1:2" x14ac:dyDescent="0.25">
      <c r="A19" t="s">
        <v>18</v>
      </c>
      <c r="B19" s="5">
        <v>18500</v>
      </c>
    </row>
    <row r="20" spans="1:2" x14ac:dyDescent="0.25">
      <c r="A20" t="s">
        <v>8</v>
      </c>
      <c r="B20" s="5">
        <v>26800</v>
      </c>
    </row>
    <row r="21" spans="1:2" x14ac:dyDescent="0.25">
      <c r="A21" t="s">
        <v>11</v>
      </c>
      <c r="B21" s="5">
        <v>82950</v>
      </c>
    </row>
    <row r="22" spans="1:2" x14ac:dyDescent="0.25">
      <c r="A22" t="s">
        <v>20</v>
      </c>
      <c r="B22" s="5">
        <v>34150</v>
      </c>
    </row>
    <row r="23" spans="1:2" x14ac:dyDescent="0.25">
      <c r="A23" t="s">
        <v>19</v>
      </c>
      <c r="B23" s="5">
        <v>76700</v>
      </c>
    </row>
    <row r="24" spans="1:2" x14ac:dyDescent="0.25">
      <c r="A24" t="s">
        <v>13</v>
      </c>
      <c r="B24" s="5">
        <v>71500</v>
      </c>
    </row>
    <row r="25" spans="1:2" x14ac:dyDescent="0.25">
      <c r="A25" t="s">
        <v>69</v>
      </c>
      <c r="B25" s="5">
        <v>341550</v>
      </c>
    </row>
  </sheetData>
  <pageMargins left="0.7" right="0.7" top="0.75" bottom="0.75" header="0.3" footer="0.3"/>
  <drawing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6"/>
  <sheetViews>
    <sheetView showGridLines="0" tabSelected="1" workbookViewId="0">
      <selection activeCell="E6" sqref="E6"/>
    </sheetView>
  </sheetViews>
  <sheetFormatPr defaultColWidth="9" defaultRowHeight="14.4" x14ac:dyDescent="0.25"/>
  <cols>
    <col min="1" max="1" width="14.88671875" customWidth="1"/>
    <col min="2" max="3" width="13.88671875" customWidth="1"/>
    <col min="4" max="4" width="13.5546875" customWidth="1"/>
    <col min="5" max="5" width="10.5546875" customWidth="1"/>
    <col min="7" max="7" width="14" customWidth="1"/>
  </cols>
  <sheetData>
    <row r="1" spans="1:22" x14ac:dyDescent="0.25">
      <c r="A1" s="27" t="s">
        <v>71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</row>
    <row r="2" spans="1:22" x14ac:dyDescent="0.25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</row>
    <row r="4" spans="1:22" x14ac:dyDescent="0.25">
      <c r="A4" s="1" t="s">
        <v>61</v>
      </c>
      <c r="B4" s="1" t="s">
        <v>72</v>
      </c>
      <c r="C4" s="1" t="s">
        <v>64</v>
      </c>
      <c r="D4" s="2"/>
      <c r="E4" s="3"/>
      <c r="G4" s="2"/>
      <c r="H4" s="2"/>
    </row>
    <row r="5" spans="1:22" x14ac:dyDescent="0.25">
      <c r="A5" s="4">
        <v>1313000</v>
      </c>
      <c r="B5" s="4">
        <v>210280</v>
      </c>
      <c r="C5" s="1">
        <v>70</v>
      </c>
    </row>
    <row r="6" spans="1:22" x14ac:dyDescent="0.25">
      <c r="A6" s="2"/>
      <c r="B6" s="2"/>
    </row>
  </sheetData>
  <mergeCells count="1">
    <mergeCell ref="A1:V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Data</vt:lpstr>
      <vt:lpstr>Analysis</vt:lpstr>
      <vt:lpstr>Pivot Table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MUSKAN VERMA</cp:lastModifiedBy>
  <dcterms:created xsi:type="dcterms:W3CDTF">2026-03-23T04:26:00Z</dcterms:created>
  <dcterms:modified xsi:type="dcterms:W3CDTF">2026-06-06T12:15:18Z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819009ED4A0A4512AF37CBE8E67F70F0_12</vt:lpwstr>
  </property>
  <property fmtid="{D5CDD505-2E9C-101B-9397-08002B2CF9AE}" pid="3" name="KSOProductBuildVer">
    <vt:lpwstr>1033-12.1.0.25830</vt:lpwstr>
  </property>
  <property fmtid="{D5CDD505-2E9C-101B-9397-08002B2CF9AE}" pid="4" name="CalculationRule">
    <vt:i4>0</vt:i4>
  </property>
</Properties>
</file>